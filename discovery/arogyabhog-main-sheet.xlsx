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Prices" sheetId="1" r:id="rId5"/>
    <sheet state="visible" name="Nutrient Reference" sheetId="2" r:id="rId6"/>
    <sheet state="visible" name="Everyday Atta" sheetId="3" r:id="rId7"/>
    <sheet state="visible" name="Sugar Care" sheetId="4" r:id="rId8"/>
    <sheet state="visible" name="Thyro Care" sheetId="5" r:id="rId9"/>
    <sheet state="visible" name="High Protein" sheetId="6" r:id="rId10"/>
    <sheet state="visible" name="Vitality Atta" sheetId="7" r:id="rId11"/>
    <sheet state="visible" name="My Choice" sheetId="8" r:id="rId12"/>
    <sheet state="visible" name="Dashboard" sheetId="9" r:id="rId13"/>
  </sheets>
  <definedNames>
    <definedName hidden="1" localSheetId="1" name="Z_BD6A6DB6_33D8_4589_AEC6_CC932D3968C5_.wvu.FilterData">'Nutrient Reference'!$A$2:$J$18</definedName>
    <definedName hidden="1" localSheetId="0" name="Z_453A5209_CFEB_4EF7_AFF3_82B0B9E2957C_.wvu.FilterData">'Master Prices'!$A$2:$D$22</definedName>
  </definedNames>
  <calcPr/>
  <customWorkbookViews>
    <customWorkbookView activeSheetId="0" maximized="1" windowHeight="0" windowWidth="0" guid="{BD6A6DB6-33D8-4589-AEC6-CC932D3968C5}" name="tblNutrients filter view"/>
    <customWorkbookView activeSheetId="0" maximized="1" windowHeight="0" windowWidth="0" guid="{453A5209-CFEB-4EF7-AFF3-82B0B9E2957C}" name="tblPrices filter view"/>
  </customWorkbookViews>
</workbook>
</file>

<file path=xl/sharedStrings.xml><?xml version="1.0" encoding="utf-8"?>
<sst xmlns="http://schemas.openxmlformats.org/spreadsheetml/2006/main" count="587" uniqueCount="166">
  <si>
    <t>Ingredient ID</t>
  </si>
  <si>
    <t>Ingredient</t>
  </si>
  <si>
    <t>Rate ₹/kg</t>
  </si>
  <si>
    <t>Category / Notes</t>
  </si>
  <si>
    <t>RM-001</t>
  </si>
  <si>
    <t>Whole Wheat (Sharbati Gehu)</t>
  </si>
  <si>
    <t>Ratio %</t>
  </si>
  <si>
    <t>5 kg Qty</t>
  </si>
  <si>
    <t>10 kg Qty</t>
  </si>
  <si>
    <t>Energy kcal</t>
  </si>
  <si>
    <t>Protein g</t>
  </si>
  <si>
    <t>Base Grain</t>
  </si>
  <si>
    <t>Cost — 5 kg</t>
  </si>
  <si>
    <t>RM-002</t>
  </si>
  <si>
    <t>Cost — 10 kg</t>
  </si>
  <si>
    <t>Normal Jau</t>
  </si>
  <si>
    <t>Standard Grain</t>
  </si>
  <si>
    <t>RM-003</t>
  </si>
  <si>
    <t>Premium Jau</t>
  </si>
  <si>
    <t>Premium Grain</t>
  </si>
  <si>
    <t>Carbohydrates g</t>
  </si>
  <si>
    <t>RM-004</t>
  </si>
  <si>
    <t>Sugars g</t>
  </si>
  <si>
    <t>Standard Desi Kala Chana</t>
  </si>
  <si>
    <t>Fat g</t>
  </si>
  <si>
    <t>Sat Fat g</t>
  </si>
  <si>
    <t>Standard Pulse</t>
  </si>
  <si>
    <t>Fibre g</t>
  </si>
  <si>
    <t>RM-005</t>
  </si>
  <si>
    <t>Sodium mg</t>
  </si>
  <si>
    <t>Premium Desi Kala Chana</t>
  </si>
  <si>
    <t>Data Status</t>
  </si>
  <si>
    <t>Premium Pulse</t>
  </si>
  <si>
    <t>RM-006</t>
  </si>
  <si>
    <t>Soybean</t>
  </si>
  <si>
    <t>High-Protein Legume</t>
  </si>
  <si>
    <t>RM-007</t>
  </si>
  <si>
    <t>Jundhi (Jowar)</t>
  </si>
  <si>
    <t>Millet</t>
  </si>
  <si>
    <t>RM-008</t>
  </si>
  <si>
    <t>Provided</t>
  </si>
  <si>
    <t>Ragi</t>
  </si>
  <si>
    <t>RM-009</t>
  </si>
  <si>
    <t>Bajra</t>
  </si>
  <si>
    <t>RM-010</t>
  </si>
  <si>
    <t>Flaxseed (Alsi)</t>
  </si>
  <si>
    <t>Oilseed / Omega-3</t>
  </si>
  <si>
    <t>RM-011</t>
  </si>
  <si>
    <t>Psyllium Husk (Isabgol)</t>
  </si>
  <si>
    <t>Soluble Fiber</t>
  </si>
  <si>
    <t>RM-012</t>
  </si>
  <si>
    <t>Kuttu (Buckwheat)</t>
  </si>
  <si>
    <t>Gluten-Free Grain</t>
  </si>
  <si>
    <t>RM-013</t>
  </si>
  <si>
    <t>Moong Dal (Yellow)</t>
  </si>
  <si>
    <t>Pulse</t>
  </si>
  <si>
    <t>Metric</t>
  </si>
  <si>
    <t>RM-014</t>
  </si>
  <si>
    <t>Chia Seeds</t>
  </si>
  <si>
    <t>Estimated Value</t>
  </si>
  <si>
    <t>Unit</t>
  </si>
  <si>
    <t>Seed</t>
  </si>
  <si>
    <t>Note</t>
  </si>
  <si>
    <t>RM-015</t>
  </si>
  <si>
    <t>White Sesame Seeds (Til)</t>
  </si>
  <si>
    <t>RM-016</t>
  </si>
  <si>
    <t>Pumpkin Seeds (Kaddu Beej)</t>
  </si>
  <si>
    <t>RM-017</t>
  </si>
  <si>
    <t>Sunflower Seeds</t>
  </si>
  <si>
    <t>OP-001</t>
  </si>
  <si>
    <t>Milling &amp; Roasting Cost</t>
  </si>
  <si>
    <t>Operational Cost / kg</t>
  </si>
  <si>
    <t>OP-002</t>
  </si>
  <si>
    <t>3-Layer Laminated Pouch</t>
  </si>
  <si>
    <t>Packaging Cost / 5kg</t>
  </si>
  <si>
    <t>OP-003</t>
  </si>
  <si>
    <t>Delivery cost</t>
  </si>
  <si>
    <t>Energy (kcal)</t>
  </si>
  <si>
    <t>per packet</t>
  </si>
  <si>
    <t>HSN Code: 11010000</t>
  </si>
  <si>
    <t>kcal</t>
  </si>
  <si>
    <t>Uses available reference data</t>
  </si>
  <si>
    <t>Protein (g)</t>
  </si>
  <si>
    <t>g</t>
  </si>
  <si>
    <t>Carbohydrates (g)</t>
  </si>
  <si>
    <t>Total Sugars (g)</t>
  </si>
  <si>
    <t>Added Sugars (g)</t>
  </si>
  <si>
    <t>Assumed zero</t>
  </si>
  <si>
    <t>Total Fat (g)</t>
  </si>
  <si>
    <t>Saturated Fat (g)</t>
  </si>
  <si>
    <t>Total Raw Material</t>
  </si>
  <si>
    <t>Trans Fat (g)</t>
  </si>
  <si>
    <t>Milling &amp; Roasting</t>
  </si>
  <si>
    <t>Dietary Fibre (g)</t>
  </si>
  <si>
    <t>Pouch Packaging</t>
  </si>
  <si>
    <t>Sodium (mg)</t>
  </si>
  <si>
    <t>mg</t>
  </si>
  <si>
    <t>Total Production Cost</t>
  </si>
  <si>
    <t>Cholesterol (mg)</t>
  </si>
  <si>
    <t>1 kg Pack</t>
  </si>
  <si>
    <t>5 kg Pack</t>
  </si>
  <si>
    <t>10 kg Pack</t>
  </si>
  <si>
    <t>Notes</t>
  </si>
  <si>
    <t>Linked to recipe cost</t>
  </si>
  <si>
    <t>Retail Price (MRP)</t>
  </si>
  <si>
    <t>Input: 10 kg MRP</t>
  </si>
  <si>
    <t>Wholesale Price</t>
  </si>
  <si>
    <t>Input: 10 kg wholesale</t>
  </si>
  <si>
    <t>Direct Profit</t>
  </si>
  <si>
    <t>MRP less cost</t>
  </si>
  <si>
    <t>Wholesale Profit</t>
  </si>
  <si>
    <t>Wholesale less cost</t>
  </si>
  <si>
    <t>Direct Margin %</t>
  </si>
  <si>
    <t>Direct profit / MRP</t>
  </si>
  <si>
    <t>Product Name</t>
  </si>
  <si>
    <t>Raw Cost (10 kg)</t>
  </si>
  <si>
    <t>Total Cost (10 kg)</t>
  </si>
  <si>
    <t>MRP (10 kg)</t>
  </si>
  <si>
    <t>Wholesale Price (10 kg)</t>
  </si>
  <si>
    <t>Direct Profit (10 kg)</t>
  </si>
  <si>
    <t>Wholesale Profit (10 kg)</t>
  </si>
  <si>
    <t>Mesho Pricefor 10 Kg</t>
  </si>
  <si>
    <t>ArogyaBhog Everyday Atta</t>
  </si>
  <si>
    <t>ArogyaBhog Sugar Care Atta</t>
  </si>
  <si>
    <t>ArogyaBhog Thyro-Care Atta</t>
  </si>
  <si>
    <t>ArogyaBhog High-Protein Fitness Atta</t>
  </si>
  <si>
    <t>ArogyaBhog Vitality Atta</t>
  </si>
  <si>
    <t>ArogyaBhog My-Choice atta</t>
  </si>
  <si>
    <t>Blend Name</t>
  </si>
  <si>
    <t>Raw Cost / kg</t>
  </si>
  <si>
    <t>Selling Rate / kg</t>
  </si>
  <si>
    <t>5 kg Bag Price</t>
  </si>
  <si>
    <t xml:space="preserve">Selling price of 5 Kg </t>
  </si>
  <si>
    <t>10 kg Bag Price</t>
  </si>
  <si>
    <t xml:space="preserve">Selling price of 10 Kg </t>
  </si>
  <si>
    <t>1. ArogyaBhog Everyday Atta (General Health)</t>
  </si>
  <si>
    <t>₹40.50</t>
  </si>
  <si>
    <t>₹55.00</t>
  </si>
  <si>
    <t>₹275</t>
  </si>
  <si>
    <t>320 / 380</t>
  </si>
  <si>
    <t>600 / 650</t>
  </si>
  <si>
    <t>2. ArogyaBhog Sugar Care Atta (Diabetic Support)</t>
  </si>
  <si>
    <t>₹50.20</t>
  </si>
  <si>
    <t>Methi Seeds (Fenugreek)</t>
  </si>
  <si>
    <t>₹65.00</t>
  </si>
  <si>
    <t>₹325</t>
  </si>
  <si>
    <t>380 / 400</t>
  </si>
  <si>
    <t>720 / 800</t>
  </si>
  <si>
    <t>3. ArogyaBhog High-Protein Fitness Atta</t>
  </si>
  <si>
    <t>₹53.70</t>
  </si>
  <si>
    <t>₹70.00</t>
  </si>
  <si>
    <t>₹350</t>
  </si>
  <si>
    <t>400 / 450</t>
  </si>
  <si>
    <t>750 / 900</t>
  </si>
  <si>
    <t>4. ArogyaBhog Thyro-Care Atta (100% Soy-Free)</t>
  </si>
  <si>
    <t>₹110.50</t>
  </si>
  <si>
    <t>₹130.00</t>
  </si>
  <si>
    <t>₹650</t>
  </si>
  <si>
    <t>700 / 800</t>
  </si>
  <si>
    <t>1350 / 1500</t>
  </si>
  <si>
    <t>5. ArogyaBhog Vitality Atta (Hormonal &amp; Seeds)</t>
  </si>
  <si>
    <t>₹85.60</t>
  </si>
  <si>
    <t>₹105.00</t>
  </si>
  <si>
    <t>₹525</t>
  </si>
  <si>
    <t>600 / 750</t>
  </si>
  <si>
    <t>1100 / 1400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</si>
</sst>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₹#,##0.00"/>
    <numFmt numFmtId="165" formatCode="0.0%"/>
    <numFmt numFmtId="166" formatCode="0.000"/>
    <numFmt numFmtId="167" formatCode="0.0"/>
  </numFmts>
  <fonts count="16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2.0"/>
      <color rgb="FFFFFFFF"/>
      <name val="Calibri"/>
      <scheme val="minor"/>
    </font>
    <font/>
    <font>
      <color theme="1"/>
      <name val="Arial"/>
    </font>
    <font>
      <color theme="1"/>
      <name val="Calibri"/>
      <scheme val="minor"/>
    </font>
    <font>
      <b/>
      <color rgb="FF1F4E78"/>
      <name val="Calibri"/>
      <scheme val="minor"/>
    </font>
    <font>
      <color theme="1"/>
      <name val="Google Sans Text"/>
    </font>
    <font>
      <color theme="1"/>
      <name val="Roboto"/>
    </font>
    <font>
      <b/>
      <color rgb="FF1F1F1F"/>
      <name val="Google Sans Text"/>
    </font>
    <font>
      <color rgb="FF1F1F1F"/>
      <name val="Google Sans Text"/>
    </font>
    <font>
      <b/>
      <color rgb="FF434343"/>
      <name val="Roboto"/>
    </font>
    <font>
      <color rgb="FF1F1F1F"/>
      <name val="&quot;Google Sans Text&quot;"/>
    </font>
    <font>
      <b/>
      <color rgb="FF1F1F1F"/>
      <name val="&quot;Google Sans Text&quot;"/>
    </font>
  </fonts>
  <fills count="9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  <fill>
      <patternFill patternType="solid">
        <fgColor rgb="FFD9EAF7"/>
        <bgColor rgb="FFD9EAF7"/>
      </patternFill>
    </fill>
    <fill>
      <patternFill patternType="solid">
        <fgColor rgb="FFBDD7EE"/>
        <bgColor rgb="FFBDD7EE"/>
      </patternFill>
    </fill>
    <fill>
      <patternFill patternType="solid">
        <fgColor rgb="FFF6F8F9"/>
        <bgColor rgb="FFF6F8F9"/>
      </patternFill>
    </fill>
  </fills>
  <borders count="15">
    <border/>
    <border>
      <top style="medium">
        <color rgb="FF1F4E78"/>
      </top>
      <bottom style="medium">
        <color rgb="FF1F4E78"/>
      </bottom>
    </border>
    <border>
      <bottom style="thin">
        <color rgb="FFD9E2F3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2" fillId="3" fontId="2" numFmtId="164" xfId="0" applyAlignment="1" applyBorder="1" applyFill="1" applyFont="1" applyNumberFormat="1">
      <alignment shrinkToFit="0" vertical="center" wrapText="0"/>
    </xf>
    <xf borderId="3" fillId="4" fontId="4" numFmtId="0" xfId="0" applyBorder="1" applyFill="1" applyFont="1"/>
    <xf borderId="4" fillId="0" fontId="5" numFmtId="0" xfId="0" applyBorder="1" applyFont="1"/>
    <xf borderId="5" fillId="0" fontId="5" numFmtId="0" xfId="0" applyBorder="1" applyFont="1"/>
    <xf borderId="2" fillId="3" fontId="2" numFmtId="0" xfId="0" applyAlignment="1" applyBorder="1" applyFill="1" applyFont="1">
      <alignment shrinkToFit="0" vertical="center" wrapText="0"/>
    </xf>
    <xf borderId="2" fillId="3" fontId="2" numFmtId="165" xfId="0" applyAlignment="1" applyBorder="1" applyFill="1" applyFont="1" applyNumberFormat="1">
      <alignment shrinkToFit="0" vertical="center" wrapText="0"/>
    </xf>
    <xf borderId="0" fillId="0" fontId="6" numFmtId="0" xfId="0" applyAlignment="1" applyFont="1">
      <alignment shrinkToFit="0" vertical="bottom" wrapText="0"/>
    </xf>
    <xf borderId="2" fillId="3" fontId="2" numFmtId="164" xfId="0" applyAlignment="1" applyBorder="1" applyFill="1" applyFont="1" applyNumberFormat="1">
      <alignment readingOrder="0" shrinkToFit="0" vertical="center" wrapText="0"/>
    </xf>
    <xf borderId="0" fillId="0" fontId="6" numFmtId="0" xfId="0" applyAlignment="1" applyFont="1">
      <alignment horizontal="right" shrinkToFit="0" vertical="bottom" wrapText="0"/>
    </xf>
    <xf borderId="2" fillId="5" fontId="2" numFmtId="166" xfId="0" applyAlignment="1" applyBorder="1" applyFill="1" applyFont="1" applyNumberFormat="1">
      <alignment shrinkToFit="0" vertical="center" wrapText="0"/>
    </xf>
    <xf borderId="0" fillId="3" fontId="2" numFmtId="0" xfId="0" applyAlignment="1" applyFill="1" applyFont="1">
      <alignment shrinkToFit="0" vertical="center" wrapText="0"/>
    </xf>
    <xf borderId="2" fillId="5" fontId="2" numFmtId="164" xfId="0" applyAlignment="1" applyBorder="1" applyFill="1" applyFont="1" applyNumberFormat="1">
      <alignment shrinkToFit="0" vertical="center" wrapText="0"/>
    </xf>
    <xf borderId="0" fillId="3" fontId="2" numFmtId="165" xfId="0" applyAlignment="1" applyFill="1" applyFont="1" applyNumberForma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5" fontId="2" numFmtId="166" xfId="0" applyAlignment="1" applyFill="1" applyFont="1" applyNumberFormat="1">
      <alignment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5" fontId="2" numFmtId="164" xfId="0" applyAlignment="1" applyFill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/>
    </xf>
    <xf borderId="2" fillId="5" fontId="2" numFmtId="167" xfId="0" applyAlignment="1" applyBorder="1" applyFill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2" fillId="6" fontId="3" numFmtId="0" xfId="0" applyAlignment="1" applyBorder="1" applyFill="1" applyFont="1">
      <alignment shrinkToFit="0" vertical="center" wrapText="0"/>
    </xf>
    <xf borderId="2" fillId="6" fontId="3" numFmtId="165" xfId="0" applyAlignment="1" applyBorder="1" applyFill="1" applyFont="1" applyNumberFormat="1">
      <alignment shrinkToFit="0" vertical="center" wrapText="0"/>
    </xf>
    <xf borderId="2" fillId="6" fontId="3" numFmtId="166" xfId="0" applyAlignment="1" applyBorder="1" applyFill="1" applyFont="1" applyNumberFormat="1">
      <alignment shrinkToFit="0" vertical="center" wrapText="0"/>
    </xf>
    <xf borderId="2" fillId="6" fontId="3" numFmtId="164" xfId="0" applyAlignment="1" applyBorder="1" applyFill="1" applyFont="1" applyNumberFormat="1">
      <alignment shrinkToFit="0" vertical="center" wrapText="0"/>
    </xf>
    <xf borderId="2" fillId="7" fontId="3" numFmtId="0" xfId="0" applyAlignment="1" applyBorder="1" applyFill="1" applyFont="1">
      <alignment shrinkToFit="0" vertical="center" wrapText="0"/>
    </xf>
    <xf borderId="2" fillId="7" fontId="3" numFmtId="0" xfId="0" applyAlignment="1" applyBorder="1" applyFill="1" applyFont="1">
      <alignment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3" fontId="2" numFmtId="164" xfId="0" applyAlignment="1" applyBorder="1" applyFill="1" applyFont="1" applyNumberFormat="1">
      <alignment shrinkToFit="0" vertical="center" wrapText="0"/>
    </xf>
    <xf borderId="0" fillId="0" fontId="8" numFmtId="0" xfId="0" applyFont="1"/>
    <xf borderId="0" fillId="0" fontId="3" numFmtId="0" xfId="0" applyFont="1"/>
    <xf borderId="2" fillId="5" fontId="2" numFmtId="0" xfId="0" applyAlignment="1" applyBorder="1" applyFill="1" applyFont="1">
      <alignment shrinkToFit="0" vertical="center" wrapText="0"/>
    </xf>
    <xf borderId="2" fillId="5" fontId="2" numFmtId="165" xfId="0" applyAlignment="1" applyBorder="1" applyFill="1" applyFont="1" applyNumberForma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3" fontId="2" numFmtId="165" xfId="0" applyAlignment="1" applyFill="1" applyFont="1" applyNumberFormat="1">
      <alignment readingOrder="0" shrinkToFit="0" vertical="center" wrapText="0"/>
    </xf>
    <xf borderId="2" fillId="3" fontId="2" numFmtId="0" xfId="0" applyAlignment="1" applyBorder="1" applyFill="1" applyFont="1">
      <alignment readingOrder="0" shrinkToFit="0" vertical="center" wrapText="0"/>
    </xf>
    <xf borderId="2" fillId="3" fontId="2" numFmtId="165" xfId="0" applyAlignment="1" applyBorder="1" applyFill="1" applyFont="1" applyNumberFormat="1">
      <alignment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5" fontId="2" numFmtId="164" xfId="0" applyAlignment="1" applyFill="1" applyFont="1" applyNumberFormat="1">
      <alignment shrinkToFit="0" vertical="center" wrapText="0"/>
    </xf>
    <xf borderId="0" fillId="5" fontId="2" numFmtId="165" xfId="0" applyAlignment="1" applyFill="1" applyFont="1" applyNumberFormat="1">
      <alignment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49" xfId="0" applyAlignment="1" applyFont="1" applyNumberFormat="1">
      <alignment horizontal="left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6" fillId="4" fontId="11" numFmtId="0" xfId="0" applyAlignment="1" applyBorder="1" applyFill="1" applyFont="1">
      <alignment readingOrder="0" shrinkToFit="0" vertical="center" wrapText="0"/>
    </xf>
    <xf borderId="7" fillId="4" fontId="12" numFmtId="0" xfId="0" applyAlignment="1" applyBorder="1" applyFill="1" applyFont="1">
      <alignment horizontal="center" shrinkToFit="0" vertical="center" wrapText="0"/>
    </xf>
    <xf borderId="7" fillId="4" fontId="11" numFmtId="0" xfId="0" applyAlignment="1" applyBorder="1" applyFill="1" applyFont="1">
      <alignment horizontal="center" shrinkToFit="0" vertical="center" wrapText="0"/>
    </xf>
    <xf borderId="7" fillId="4" fontId="11" numFmtId="164" xfId="0" applyAlignment="1" applyBorder="1" applyFill="1" applyFont="1" applyNumberFormat="1">
      <alignment horizontal="center" shrinkToFit="0" vertical="center" wrapText="0"/>
    </xf>
    <xf borderId="8" fillId="4" fontId="13" numFmtId="0" xfId="0" applyAlignment="1" applyBorder="1" applyFill="1" applyFont="1">
      <alignment horizontal="center" shrinkToFit="0" vertical="center" wrapText="0"/>
    </xf>
    <xf borderId="9" fillId="8" fontId="11" numFmtId="0" xfId="0" applyAlignment="1" applyBorder="1" applyFill="1" applyFont="1">
      <alignment readingOrder="0" shrinkToFit="0" vertical="center" wrapText="0"/>
    </xf>
    <xf borderId="10" fillId="8" fontId="12" numFmtId="0" xfId="0" applyAlignment="1" applyBorder="1" applyFill="1" applyFont="1">
      <alignment horizontal="center" shrinkToFit="0" vertical="center" wrapText="0"/>
    </xf>
    <xf borderId="10" fillId="8" fontId="11" numFmtId="0" xfId="0" applyAlignment="1" applyBorder="1" applyFill="1" applyFont="1">
      <alignment horizontal="center" shrinkToFit="0" vertical="center" wrapText="0"/>
    </xf>
    <xf borderId="10" fillId="8" fontId="11" numFmtId="164" xfId="0" applyAlignment="1" applyBorder="1" applyFill="1" applyFont="1" applyNumberFormat="1">
      <alignment horizontal="center" shrinkToFit="0" vertical="center" wrapText="0"/>
    </xf>
    <xf borderId="11" fillId="8" fontId="13" numFmtId="0" xfId="0" applyAlignment="1" applyBorder="1" applyFill="1" applyFont="1">
      <alignment horizontal="center" shrinkToFit="0" vertical="center" wrapText="0"/>
    </xf>
    <xf borderId="10" fillId="8" fontId="11" numFmtId="164" xfId="0" applyAlignment="1" applyBorder="1" applyFill="1" applyFont="1" applyNumberFormat="1">
      <alignment horizontal="center" readingOrder="0" shrinkToFit="0" vertical="center" wrapText="0"/>
    </xf>
    <xf borderId="12" fillId="4" fontId="11" numFmtId="0" xfId="0" applyAlignment="1" applyBorder="1" applyFill="1" applyFont="1">
      <alignment readingOrder="0" shrinkToFit="0" vertical="center" wrapText="0"/>
    </xf>
    <xf borderId="13" fillId="4" fontId="12" numFmtId="0" xfId="0" applyAlignment="1" applyBorder="1" applyFill="1" applyFont="1">
      <alignment horizontal="center" shrinkToFit="0" vertical="center" wrapText="0"/>
    </xf>
    <xf borderId="13" fillId="4" fontId="11" numFmtId="0" xfId="0" applyAlignment="1" applyBorder="1" applyFill="1" applyFont="1">
      <alignment horizontal="center" shrinkToFit="0" vertical="center" wrapText="0"/>
    </xf>
    <xf borderId="13" fillId="4" fontId="11" numFmtId="164" xfId="0" applyAlignment="1" applyBorder="1" applyFill="1" applyFont="1" applyNumberFormat="1">
      <alignment horizontal="center" shrinkToFit="0" vertical="center" wrapText="0"/>
    </xf>
    <xf borderId="14" fillId="4" fontId="13" numFmtId="0" xfId="0" applyAlignment="1" applyBorder="1" applyFill="1" applyFont="1">
      <alignment horizontal="center" shrinkToFit="0" vertical="center" wrapText="0"/>
    </xf>
    <xf borderId="0" fillId="4" fontId="8" numFmtId="0" xfId="0" applyFill="1" applyFont="1"/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4" numFmtId="10" xfId="0" applyAlignment="1" applyFont="1" applyNumberFormat="1">
      <alignment readingOrder="0"/>
    </xf>
    <xf borderId="0" fillId="0" fontId="15" numFmtId="10" xfId="0" applyAlignment="1" applyFont="1" applyNumberFormat="1">
      <alignment readingOrder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4F81BD"/>
          <bgColor rgb="FF4F81BD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CCC"/>
          <bgColor rgb="FFF4CCCC"/>
        </patternFill>
      </fill>
      <border/>
    </dxf>
  </dxfs>
  <tableStyles count="22">
    <tableStyle count="4" pivot="0" name="Master Pri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utrient Reference-style">
      <tableStyleElement dxfId="7" type="headerRow"/>
      <tableStyleElement dxfId="2" type="firstRowStripe"/>
      <tableStyleElement dxfId="6" type="secondRowStripe"/>
      <tableStyleElement dxfId="10" size="0" type="wholeTable"/>
    </tableStyle>
    <tableStyle count="5" pivot="0" name="Sugar Care-style">
      <tableStyleElement dxfId="5" type="headerRow"/>
      <tableStyleElement dxfId="6" type="firstRowStripe"/>
      <tableStyleElement dxfId="8" type="secondRowStripe"/>
      <tableStyleElement dxfId="9" type="totalRow"/>
      <tableStyleElement dxfId="11" size="0" type="wholeTable"/>
    </tableStyle>
    <tableStyle count="5" pivot="0" name="Everyday Atta-style">
      <tableStyleElement dxfId="5" type="headerRow"/>
      <tableStyleElement dxfId="6" type="firstRowStripe"/>
      <tableStyleElement dxfId="8" type="secondRowStripe"/>
      <tableStyleElement dxfId="9" type="totalRow"/>
      <tableStyleElement dxfId="11" size="0" type="wholeTable"/>
    </tableStyle>
    <tableStyle count="4" pivot="0" name="Everyday Atta-style 2">
      <tableStyleElement dxfId="5" type="headerRow"/>
      <tableStyleElement dxfId="6" type="firstRowStripe"/>
      <tableStyleElement dxfId="8" type="secondRowStripe"/>
      <tableStyleElement dxfId="11" size="0" type="wholeTable"/>
    </tableStyle>
    <tableStyle count="5" pivot="0" name="Everyday Atta-style 3">
      <tableStyleElement dxfId="5" type="headerRow"/>
      <tableStyleElement dxfId="6" type="firstRowStripe"/>
      <tableStyleElement dxfId="8" type="secondRowStripe"/>
      <tableStyleElement dxfId="9" type="totalRow"/>
      <tableStyleElement dxfId="11" size="0" type="wholeTable"/>
    </tableStyle>
    <tableStyle count="4" pivot="0" name="Sugar Care-style 2">
      <tableStyleElement dxfId="5" type="headerRow"/>
      <tableStyleElement dxfId="6" type="firstRowStripe"/>
      <tableStyleElement dxfId="8" type="secondRowStripe"/>
      <tableStyleElement dxfId="11" size="0" type="wholeTable"/>
    </tableStyle>
    <tableStyle count="5" pivot="0" name="Sugar Care-style 3">
      <tableStyleElement dxfId="5" type="headerRow"/>
      <tableStyleElement dxfId="6" type="firstRowStripe"/>
      <tableStyleElement dxfId="8" type="secondRowStripe"/>
      <tableStyleElement dxfId="9" type="totalRow"/>
      <tableStyleElement dxfId="11" size="0" type="wholeTable"/>
    </tableStyle>
    <tableStyle count="5" pivot="0" name="Thyro Care-style">
      <tableStyleElement dxfId="5" type="headerRow"/>
      <tableStyleElement dxfId="6" type="firstRowStripe"/>
      <tableStyleElement dxfId="8" type="secondRowStripe"/>
      <tableStyleElement dxfId="9" type="totalRow"/>
      <tableStyleElement dxfId="11" size="0" type="wholeTable"/>
    </tableStyle>
    <tableStyle count="4" pivot="0" name="Thyro Care-style 2">
      <tableStyleElement dxfId="5" type="headerRow"/>
      <tableStyleElement dxfId="6" type="firstRowStripe"/>
      <tableStyleElement dxfId="8" type="secondRowStripe"/>
      <tableStyleElement dxfId="11" size="0" type="wholeTable"/>
    </tableStyle>
    <tableStyle count="5" pivot="0" name="Thyro Care-style 3">
      <tableStyleElement dxfId="5" type="headerRow"/>
      <tableStyleElement dxfId="6" type="firstRowStripe"/>
      <tableStyleElement dxfId="8" type="secondRowStripe"/>
      <tableStyleElement dxfId="9" type="totalRow"/>
      <tableStyleElement dxfId="11" size="0" type="wholeTable"/>
    </tableStyle>
    <tableStyle count="5" pivot="0" name="High Protein-style">
      <tableStyleElement dxfId="5" type="headerRow"/>
      <tableStyleElement dxfId="6" type="firstRowStripe"/>
      <tableStyleElement dxfId="8" type="secondRowStripe"/>
      <tableStyleElement dxfId="9" type="totalRow"/>
      <tableStyleElement dxfId="11" size="0" type="wholeTable"/>
    </tableStyle>
    <tableStyle count="4" pivot="0" name="High Protein-style 2">
      <tableStyleElement dxfId="5" type="headerRow"/>
      <tableStyleElement dxfId="6" type="firstRowStripe"/>
      <tableStyleElement dxfId="8" type="secondRowStripe"/>
      <tableStyleElement dxfId="11" size="0" type="wholeTable"/>
    </tableStyle>
    <tableStyle count="5" pivot="0" name="High Protein-style 3">
      <tableStyleElement dxfId="5" type="headerRow"/>
      <tableStyleElement dxfId="6" type="firstRowStripe"/>
      <tableStyleElement dxfId="8" type="secondRowStripe"/>
      <tableStyleElement dxfId="9" type="totalRow"/>
      <tableStyleElement dxfId="11" size="0" type="wholeTable"/>
    </tableStyle>
    <tableStyle count="5" pivot="0" name="My Choice-style">
      <tableStyleElement dxfId="5" type="headerRow"/>
      <tableStyleElement dxfId="6" type="firstRowStripe"/>
      <tableStyleElement dxfId="8" type="secondRowStripe"/>
      <tableStyleElement dxfId="9" type="totalRow"/>
      <tableStyleElement dxfId="11" size="0" type="wholeTable"/>
    </tableStyle>
    <tableStyle count="5" pivot="0" name="Vitality Atta-style">
      <tableStyleElement dxfId="5" type="headerRow"/>
      <tableStyleElement dxfId="6" type="firstRowStripe"/>
      <tableStyleElement dxfId="8" type="secondRowStripe"/>
      <tableStyleElement dxfId="9" type="totalRow"/>
      <tableStyleElement dxfId="11" size="0" type="wholeTable"/>
    </tableStyle>
    <tableStyle count="4" pivot="0" name="My Choice-style 2">
      <tableStyleElement dxfId="5" type="headerRow"/>
      <tableStyleElement dxfId="6" type="firstRowStripe"/>
      <tableStyleElement dxfId="8" type="secondRowStripe"/>
      <tableStyleElement dxfId="11" size="0" type="wholeTable"/>
    </tableStyle>
    <tableStyle count="4" pivot="0" name="Vitality Atta-style 2">
      <tableStyleElement dxfId="5" type="headerRow"/>
      <tableStyleElement dxfId="6" type="firstRowStripe"/>
      <tableStyleElement dxfId="8" type="secondRowStripe"/>
      <tableStyleElement dxfId="11" size="0" type="wholeTable"/>
    </tableStyle>
    <tableStyle count="5" pivot="0" name="My Choice-style 3">
      <tableStyleElement dxfId="5" type="headerRow"/>
      <tableStyleElement dxfId="6" type="firstRowStripe"/>
      <tableStyleElement dxfId="8" type="secondRowStripe"/>
      <tableStyleElement dxfId="9" type="totalRow"/>
      <tableStyleElement dxfId="11" size="0" type="wholeTable"/>
    </tableStyle>
    <tableStyle count="5" pivot="0" name="Vitality Atta-style 3">
      <tableStyleElement dxfId="5" type="headerRow"/>
      <tableStyleElement dxfId="6" type="firstRowStripe"/>
      <tableStyleElement dxfId="8" type="secondRowStripe"/>
      <tableStyleElement dxfId="9" type="totalRow"/>
      <tableStyleElement dxfId="11" size="0" type="wholeTable"/>
    </tableStyle>
    <tableStyle count="4" pivot="0" name="Dashboard-style">
      <tableStyleElement dxfId="5" type="headerRow"/>
      <tableStyleElement dxfId="6" type="firstRowStripe"/>
      <tableStyleElement dxfId="8" type="secondRowStripe"/>
      <tableStyleElement dxfId="11" size="0" type="wholeTable"/>
    </tableStyle>
    <tableStyle count="4" pivot="0" name="Dashboard-style 2">
      <tableStyleElement dxfId="5" type="headerRow"/>
      <tableStyleElement dxfId="6" type="firstRowStripe"/>
      <tableStyleElement dxfId="8" type="secondRowStripe"/>
      <tableStyleElement dxfId="11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22" displayName="tblPrices" name="tblPrices" id="1">
  <tableColumns count="4">
    <tableColumn name="Ingredient ID" id="1"/>
    <tableColumn name="Ingredient" id="2"/>
    <tableColumn name="Rate ₹/kg" id="3"/>
    <tableColumn name="Category / Notes" id="4"/>
  </tableColumns>
  <tableStyleInfo name="Master Prices-style" showColumnStripes="0" showFirstColumn="1" showLastColumn="1" showRowStripes="1"/>
</table>
</file>

<file path=xl/tables/table2.xml><?xml version="1.0" encoding="utf-8"?>
<table xmlns="http://schemas.openxmlformats.org/spreadsheetml/2006/main" ref="A2:J18" displayName="tblNutrients" name="tblNutrients" id="2">
  <tableColumns count="10">
    <tableColumn name="Ingredient" id="1"/>
    <tableColumn name="Energy kcal" id="2"/>
    <tableColumn name="Protein g" id="3"/>
    <tableColumn name="Carbohydrates g" id="4"/>
    <tableColumn name="Sugars g" id="5"/>
    <tableColumn name="Fat g" id="6"/>
    <tableColumn name="Sat Fat g" id="7"/>
    <tableColumn name="Fibre g" id="8"/>
    <tableColumn name="Sodium mg" id="9"/>
    <tableColumn name="Data Status" id="10"/>
  </tableColumns>
  <tableStyleInfo name="Nutrient Reference-style" showColumnStripes="0" showFirstColumn="1" showLastColumn="1" showRowStripes="1"/>
</table>
</file>

<file path=xl/tables/table3.xml><?xml version="1.0" encoding="utf-8"?>
<table xmlns="http://schemas.openxmlformats.org/spreadsheetml/2006/main" totalsRowCount="1" ref="A1:G13" displayName="Ingredient_1" name="Ingredient_1" id="3">
  <tableColumns count="7">
    <tableColumn totalsRowLabel="Total Production Cost" name="Ingredient" id="1"/>
    <tableColumn name="Ratio %" id="2"/>
    <tableColumn name="5 kg Qty" id="3"/>
    <tableColumn name="10 kg Qty" id="4"/>
    <tableColumn totalsRowFunction="custom" name="Rate ₹/kg" id="5"/>
    <tableColumn totalsRowFunction="custom" name="Cost — 5 kg" id="6"/>
    <tableColumn totalsRowFunction="custom" name="Cost — 10 kg" id="7"/>
  </tableColumns>
  <tableStyleInfo name="Everyday Atta-style" showColumnStripes="0" showFirstColumn="1" showLastColumn="1" showRowStripes="1"/>
</table>
</file>

<file path=xl/tables/table4.xml><?xml version="1.0" encoding="utf-8"?>
<table xmlns="http://schemas.openxmlformats.org/spreadsheetml/2006/main" ref="I2:L13" displayName="EA_Nutrition_per_100g" name="EA_Nutrition_per_100g" id="5">
  <tableColumns count="4">
    <tableColumn name="Metric" id="1"/>
    <tableColumn name="Estimated Value" id="2"/>
    <tableColumn name="Unit" id="3"/>
    <tableColumn name="Note" id="4"/>
  </tableColumns>
  <tableStyleInfo name="Everyday Atta-style 2" showColumnStripes="0" showFirstColumn="1" showLastColumn="1" showRowStripes="1"/>
</table>
</file>

<file path=xl/tables/table5.xml><?xml version="1.0" encoding="utf-8"?>
<table xmlns="http://schemas.openxmlformats.org/spreadsheetml/2006/main" totalsRowCount="1" ref="A16:E22" displayName="Pricing_Profit_Analysis_1" name="Pricing_Profit_Analysis_1" id="6">
  <tableColumns count="5">
    <tableColumn totalsRowLabel="Direct Margin %" name="Metric" id="1"/>
    <tableColumn totalsRowFunction="custom" name="1 kg Pack" id="2"/>
    <tableColumn totalsRowFunction="custom" name="5 kg Pack" id="3"/>
    <tableColumn totalsRowFunction="custom" name="10 kg Pack" id="4"/>
    <tableColumn totalsRowLabel="Direct profit / MRP" name="Notes" id="5"/>
  </tableColumns>
  <tableStyleInfo name="Everyday Atta-style 3" showColumnStripes="0" showFirstColumn="1" showLastColumn="1" showRowStripes="1"/>
</table>
</file>

<file path=xl/tables/table6.xml><?xml version="1.0" encoding="utf-8"?>
<table xmlns="http://schemas.openxmlformats.org/spreadsheetml/2006/main" totalsRowCount="1" ref="A1:G14" displayName="Ingredient_2" name="Ingredient_2" id="4">
  <tableColumns count="7">
    <tableColumn totalsRowLabel="Total Production Cost" name="Ingredient" id="1"/>
    <tableColumn name="Ratio %" id="2"/>
    <tableColumn name="5 kg Qty" id="3"/>
    <tableColumn name="10 kg Qty" id="4"/>
    <tableColumn totalsRowFunction="custom" name="Rate ₹/kg" id="5"/>
    <tableColumn totalsRowFunction="custom" name="Cost — 5 kg" id="6"/>
    <tableColumn totalsRowFunction="custom" name="Cost — 10 kg" id="7"/>
  </tableColumns>
  <tableStyleInfo name="Sugar Care-style" showColumnStripes="0" showFirstColumn="1" showLastColumn="1" showRowStripes="1"/>
</table>
</file>

<file path=xl/tables/table7.xml><?xml version="1.0" encoding="utf-8"?>
<table xmlns="http://schemas.openxmlformats.org/spreadsheetml/2006/main" ref="I3:L14" displayName="SC_Nutrition_per_100g" name="SC_Nutrition_per_100g" id="7">
  <tableColumns count="4">
    <tableColumn name="Metric" id="1"/>
    <tableColumn name="Estimated Value" id="2"/>
    <tableColumn name="Unit" id="3"/>
    <tableColumn name="Note" id="4"/>
  </tableColumns>
  <tableStyleInfo name="Sugar Care-style 2" showColumnStripes="0" showFirstColumn="1" showLastColumn="1" showRowStripes="1"/>
</table>
</file>

<file path=xl/tables/table8.xml><?xml version="1.0" encoding="utf-8"?>
<table xmlns="http://schemas.openxmlformats.org/spreadsheetml/2006/main" totalsRowCount="1" ref="A17:E23" displayName="Pricing_Profit_Analysis_2" name="Pricing_Profit_Analysis_2" id="8">
  <tableColumns count="5">
    <tableColumn totalsRowLabel="Direct Margin %" name="Metric" id="1"/>
    <tableColumn totalsRowFunction="custom" name="1 kg Pack" id="2"/>
    <tableColumn totalsRowFunction="custom" name="5 kg Pack" id="3"/>
    <tableColumn totalsRowFunction="custom" name="10 kg Pack" id="4"/>
    <tableColumn totalsRowLabel="Direct profit / MRP" name="Notes" id="5"/>
  </tableColumns>
  <tableStyleInfo name="Sugar Care-style 3" showColumnStripes="0" showFirstColumn="1" showLastColumn="1" showRowStripes="1"/>
</table>
</file>

<file path=xl/tables/table9.xml><?xml version="1.0" encoding="utf-8"?>
<table xmlns="http://schemas.openxmlformats.org/spreadsheetml/2006/main" totalsRowCount="1" ref="A1:G12" displayName="Ingredient_3" name="Ingredient_3" id="9">
  <tableColumns count="7">
    <tableColumn totalsRowLabel="Total Production Cost" name="Ingredient" id="1"/>
    <tableColumn name="Ratio %" id="2"/>
    <tableColumn name="5 kg Qty" id="3"/>
    <tableColumn name="10 kg Qty" id="4"/>
    <tableColumn totalsRowFunction="custom" name="Rate ₹/kg" id="5"/>
    <tableColumn totalsRowFunction="custom" name="Cost — 5 kg" id="6"/>
    <tableColumn totalsRowFunction="custom" name="Cost — 10 kg" id="7"/>
  </tableColumns>
  <tableStyleInfo name="Thyro Care-style" showColumnStripes="0" showFirstColumn="1" showLastColumn="1" showRowStripes="1"/>
</table>
</file>

<file path=xl/tables/table10.xml><?xml version="1.0" encoding="utf-8"?>
<table xmlns="http://schemas.openxmlformats.org/spreadsheetml/2006/main" ref="I3:L14" displayName="TC_Nutrition_per_100g" name="TC_Nutrition_per_100g" id="10">
  <tableColumns count="4">
    <tableColumn name="Metric" id="1"/>
    <tableColumn name="Estimated Value" id="2"/>
    <tableColumn name="Unit" id="3"/>
    <tableColumn name="Note" id="4"/>
  </tableColumns>
  <tableStyleInfo name="Thyro Care-style 2" showColumnStripes="0" showFirstColumn="1" showLastColumn="1" showRowStripes="1"/>
</table>
</file>

<file path=xl/tables/table11.xml><?xml version="1.0" encoding="utf-8"?>
<table xmlns="http://schemas.openxmlformats.org/spreadsheetml/2006/main" totalsRowCount="1" ref="A18:E24" displayName="Pricing_Profit_Analysis_3" name="Pricing_Profit_Analysis_3" id="11">
  <tableColumns count="5">
    <tableColumn totalsRowLabel="Direct Margin %" name="Metric" id="1"/>
    <tableColumn totalsRowFunction="custom" name="1 kg Pack" id="2"/>
    <tableColumn totalsRowFunction="custom" name="5 kg Pack" id="3"/>
    <tableColumn totalsRowFunction="custom" name="10 kg Pack" id="4"/>
    <tableColumn totalsRowLabel="Direct profit / MRP" name="Notes" id="5"/>
  </tableColumns>
  <tableStyleInfo name="Thyro Care-style 3" showColumnStripes="0" showFirstColumn="1" showLastColumn="1" showRowStripes="1"/>
</table>
</file>

<file path=xl/tables/table12.xml><?xml version="1.0" encoding="utf-8"?>
<table xmlns="http://schemas.openxmlformats.org/spreadsheetml/2006/main" totalsRowCount="1" ref="A1:G12" displayName="Ingredient4" name="Ingredient4" id="12">
  <tableColumns count="7">
    <tableColumn totalsRowLabel="Total Production Cost" name="Ingredient" id="1"/>
    <tableColumn name="Ratio %" id="2"/>
    <tableColumn name="5 kg Qty" id="3"/>
    <tableColumn name="10 kg Qty" id="4"/>
    <tableColumn totalsRowFunction="custom" name="Rate ₹/kg" id="5"/>
    <tableColumn totalsRowFunction="custom" name="Cost — 5 kg" id="6"/>
    <tableColumn totalsRowFunction="custom" name="Cost — 10 kg" id="7"/>
  </tableColumns>
  <tableStyleInfo name="High Protein-style" showColumnStripes="0" showFirstColumn="1" showLastColumn="1" showRowStripes="1"/>
</table>
</file>

<file path=xl/tables/table13.xml><?xml version="1.0" encoding="utf-8"?>
<table xmlns="http://schemas.openxmlformats.org/spreadsheetml/2006/main" ref="I3:L14" displayName="HP_Nutrition_per_100g" name="HP_Nutrition_per_100g" id="13">
  <tableColumns count="4">
    <tableColumn name="Metric" id="1"/>
    <tableColumn name="Estimated Value" id="2"/>
    <tableColumn name="Unit" id="3"/>
    <tableColumn name="Note" id="4"/>
  </tableColumns>
  <tableStyleInfo name="High Protein-style 2" showColumnStripes="0" showFirstColumn="1" showLastColumn="1" showRowStripes="1"/>
</table>
</file>

<file path=xl/tables/table14.xml><?xml version="1.0" encoding="utf-8"?>
<table xmlns="http://schemas.openxmlformats.org/spreadsheetml/2006/main" totalsRowCount="1" ref="A18:E25" displayName="Pricing_Profit_Analysis_4" name="Pricing_Profit_Analysis_4" id="14">
  <tableColumns count="5">
    <tableColumn name="Metric" id="1"/>
    <tableColumn name="1 kg Pack" id="2"/>
    <tableColumn name="5 kg Pack" id="3"/>
    <tableColumn name="10 kg Pack" id="4"/>
    <tableColumn name="Notes" id="5"/>
  </tableColumns>
  <tableStyleInfo name="High Protein-style 3" showColumnStripes="0" showFirstColumn="1" showLastColumn="1" showRowStripes="1"/>
</table>
</file>

<file path=xl/tables/table15.xml><?xml version="1.0" encoding="utf-8"?>
<table xmlns="http://schemas.openxmlformats.org/spreadsheetml/2006/main" totalsRowCount="1" ref="A1:G15" displayName="Ingredient_5" name="Ingredient_5" id="15">
  <tableColumns count="7">
    <tableColumn totalsRowLabel="Total Production Cost" name="Ingredient" id="1"/>
    <tableColumn name="Ratio %" id="2"/>
    <tableColumn name="5 kg Qty" id="3"/>
    <tableColumn name="10 kg Qty" id="4"/>
    <tableColumn name="Rate ₹/kg" id="5"/>
    <tableColumn totalsRowFunction="custom" name="Cost — 5 kg" id="6"/>
    <tableColumn totalsRowFunction="custom" name="Cost — 10 kg" id="7"/>
  </tableColumns>
  <tableStyleInfo name="Vitality Atta-style" showColumnStripes="0" showFirstColumn="1" showLastColumn="1" showRowStripes="1"/>
</table>
</file>

<file path=xl/tables/table16.xml><?xml version="1.0" encoding="utf-8"?>
<table xmlns="http://schemas.openxmlformats.org/spreadsheetml/2006/main" ref="I3:L14" displayName="VA_Nutrition_per_100g" name="VA_Nutrition_per_100g" id="18">
  <tableColumns count="4">
    <tableColumn name="Metric" id="1"/>
    <tableColumn name="Estimated Value" id="2"/>
    <tableColumn name="Unit" id="3"/>
    <tableColumn name="Note" id="4"/>
  </tableColumns>
  <tableStyleInfo name="Vitality Atta-style 2" showColumnStripes="0" showFirstColumn="1" showLastColumn="1" showRowStripes="1"/>
</table>
</file>

<file path=xl/tables/table17.xml><?xml version="1.0" encoding="utf-8"?>
<table xmlns="http://schemas.openxmlformats.org/spreadsheetml/2006/main" totalsRowCount="1" ref="A21:E27" displayName="Table11" name="Table11" id="20">
  <tableColumns count="5">
    <tableColumn totalsRowLabel="Direct Margin %" name="Metric" id="1"/>
    <tableColumn totalsRowFunction="custom" name="1 kg Pack" id="2"/>
    <tableColumn totalsRowFunction="custom" name="5 kg Pack" id="3"/>
    <tableColumn totalsRowFunction="custom" name="10 kg Pack" id="4"/>
    <tableColumn totalsRowLabel="Direct profit / MRP" name="Notes" id="5"/>
  </tableColumns>
  <tableStyleInfo name="Vitality Atta-style 3" showColumnStripes="0" showFirstColumn="1" showLastColumn="1" showRowStripes="1"/>
</table>
</file>

<file path=xl/tables/table18.xml><?xml version="1.0" encoding="utf-8"?>
<table xmlns="http://schemas.openxmlformats.org/spreadsheetml/2006/main" totalsRowCount="1" ref="A1:G13" displayName="my_choice" name="my_choice" id="16">
  <tableColumns count="7">
    <tableColumn totalsRowLabel="Total Production Cost" name="Ingredient" id="1"/>
    <tableColumn name="Ratio %" id="2"/>
    <tableColumn name="5 kg Qty" id="3"/>
    <tableColumn name="10 kg Qty" id="4"/>
    <tableColumn totalsRowFunction="custom" name="Rate ₹/kg" id="5"/>
    <tableColumn totalsRowFunction="custom" name="Cost — 5 kg" id="6"/>
    <tableColumn totalsRowFunction="custom" name="Cost — 10 kg" id="7"/>
  </tableColumns>
  <tableStyleInfo name="My Choice-style" showColumnStripes="0" showFirstColumn="1" showLastColumn="1" showRowStripes="1"/>
</table>
</file>

<file path=xl/tables/table19.xml><?xml version="1.0" encoding="utf-8"?>
<table xmlns="http://schemas.openxmlformats.org/spreadsheetml/2006/main" ref="I2:L13" displayName="Table4" name="Table4" id="17">
  <tableColumns count="4">
    <tableColumn name="Metric" id="1"/>
    <tableColumn name="Estimated Value" id="2"/>
    <tableColumn name="Unit" id="3"/>
    <tableColumn name="Note" id="4"/>
  </tableColumns>
  <tableStyleInfo name="My Choice-style 2" showColumnStripes="0" showFirstColumn="1" showLastColumn="1" showRowStripes="1"/>
</table>
</file>

<file path=xl/tables/table20.xml><?xml version="1.0" encoding="utf-8"?>
<table xmlns="http://schemas.openxmlformats.org/spreadsheetml/2006/main" totalsRowCount="1" ref="A16:E22" displayName="Table2" name="Table2" id="19">
  <tableColumns count="5">
    <tableColumn totalsRowLabel="Direct Margin %" name="Metric" id="1"/>
    <tableColumn totalsRowFunction="custom" name="1 kg Pack" id="2"/>
    <tableColumn totalsRowFunction="custom" name="5 kg Pack" id="3"/>
    <tableColumn totalsRowFunction="custom" name="10 kg Pack" id="4"/>
    <tableColumn totalsRowLabel="Direct profit / MRP" name="Notes" id="5"/>
  </tableColumns>
  <tableStyleInfo name="My Choice-style 3" showColumnStripes="0" showFirstColumn="1" showLastColumn="1" showRowStripes="1"/>
</table>
</file>

<file path=xl/tables/table21.xml><?xml version="1.0" encoding="utf-8"?>
<table xmlns="http://schemas.openxmlformats.org/spreadsheetml/2006/main" ref="A1:I7" displayName="Table1" name="Table1" id="21">
  <tableColumns count="9">
    <tableColumn name="Product Name" id="1"/>
    <tableColumn name="Raw Cost (10 kg)" id="2"/>
    <tableColumn name="Total Cost (10 kg)" id="3"/>
    <tableColumn name="MRP (10 kg)" id="4"/>
    <tableColumn name="Wholesale Price (10 kg)" id="5"/>
    <tableColumn name="Direct Profit (10 kg)" id="6"/>
    <tableColumn name="Wholesale Profit (10 kg)" id="7"/>
    <tableColumn name="Direct Margin %" id="8"/>
    <tableColumn name="Mesho Pricefor 10 Kg" id="9"/>
  </tableColumns>
  <tableStyleInfo name="Dashboard-style" showColumnStripes="0" showFirstColumn="1" showLastColumn="1" showRowStripes="1"/>
</table>
</file>

<file path=xl/tables/table22.xml><?xml version="1.0" encoding="utf-8"?>
<table xmlns="http://schemas.openxmlformats.org/spreadsheetml/2006/main" ref="A10:G15" displayName="new_table__for_regerence" name="new_table__for_regerence" id="22">
  <tableColumns count="7">
    <tableColumn name="Blend Name" id="1"/>
    <tableColumn name="Raw Cost / kg" id="2"/>
    <tableColumn name="Selling Rate / kg" id="3"/>
    <tableColumn name="5 kg Bag Price" id="4"/>
    <tableColumn name="Selling price of 5 Kg " id="5"/>
    <tableColumn name="10 kg Bag Price" id="6"/>
    <tableColumn name="Selling price of 10 Kg " id="7"/>
  </tableColumns>
  <tableStyleInfo name="Dashboar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9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2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15.xml"/><Relationship Id="rId6" Type="http://schemas.openxmlformats.org/officeDocument/2006/relationships/table" Target="../tables/table16.xml"/><Relationship Id="rId7" Type="http://schemas.openxmlformats.org/officeDocument/2006/relationships/table" Target="../tables/table1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18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21.xml"/><Relationship Id="rId5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16.0"/>
    <col customWidth="1" min="4" max="4" width="28.0"/>
    <col customWidth="1" min="5" max="26" width="8.71"/>
  </cols>
  <sheetData>
    <row r="2" ht="31.5" customHeight="1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4</v>
      </c>
      <c r="B3" s="2" t="s">
        <v>5</v>
      </c>
      <c r="C3" s="4">
        <v>35.0</v>
      </c>
      <c r="D3" s="2" t="s">
        <v>11</v>
      </c>
    </row>
    <row r="4">
      <c r="A4" s="2" t="s">
        <v>13</v>
      </c>
      <c r="B4" s="2" t="s">
        <v>15</v>
      </c>
      <c r="C4" s="4">
        <v>50.0</v>
      </c>
      <c r="D4" s="2" t="s">
        <v>16</v>
      </c>
    </row>
    <row r="5">
      <c r="A5" s="2" t="s">
        <v>17</v>
      </c>
      <c r="B5" s="2" t="s">
        <v>18</v>
      </c>
      <c r="C5" s="4">
        <v>70.0</v>
      </c>
      <c r="D5" s="2" t="s">
        <v>19</v>
      </c>
    </row>
    <row r="6">
      <c r="A6" s="2" t="s">
        <v>21</v>
      </c>
      <c r="B6" s="2" t="s">
        <v>23</v>
      </c>
      <c r="C6" s="4">
        <v>80.0</v>
      </c>
      <c r="D6" s="2" t="s">
        <v>26</v>
      </c>
    </row>
    <row r="7">
      <c r="A7" s="2" t="s">
        <v>28</v>
      </c>
      <c r="B7" s="2" t="s">
        <v>30</v>
      </c>
      <c r="C7" s="4">
        <v>100.0</v>
      </c>
      <c r="D7" s="2" t="s">
        <v>32</v>
      </c>
    </row>
    <row r="8">
      <c r="A8" s="2" t="s">
        <v>33</v>
      </c>
      <c r="B8" s="2" t="s">
        <v>34</v>
      </c>
      <c r="C8" s="11">
        <v>120.0</v>
      </c>
      <c r="D8" s="2" t="s">
        <v>35</v>
      </c>
    </row>
    <row r="9">
      <c r="A9" s="2" t="s">
        <v>36</v>
      </c>
      <c r="B9" s="2" t="s">
        <v>37</v>
      </c>
      <c r="C9" s="4">
        <v>100.0</v>
      </c>
      <c r="D9" s="2" t="s">
        <v>38</v>
      </c>
    </row>
    <row r="10">
      <c r="A10" s="2" t="s">
        <v>39</v>
      </c>
      <c r="B10" s="2" t="s">
        <v>41</v>
      </c>
      <c r="C10" s="4">
        <v>70.0</v>
      </c>
      <c r="D10" s="2" t="s">
        <v>38</v>
      </c>
    </row>
    <row r="11">
      <c r="A11" s="2" t="s">
        <v>42</v>
      </c>
      <c r="B11" s="2" t="s">
        <v>43</v>
      </c>
      <c r="C11" s="4">
        <v>40.0</v>
      </c>
      <c r="D11" s="2" t="s">
        <v>38</v>
      </c>
    </row>
    <row r="12">
      <c r="A12" s="2" t="s">
        <v>44</v>
      </c>
      <c r="B12" s="2" t="s">
        <v>45</v>
      </c>
      <c r="C12" s="4">
        <v>150.0</v>
      </c>
      <c r="D12" s="2" t="s">
        <v>46</v>
      </c>
    </row>
    <row r="13">
      <c r="A13" s="2" t="s">
        <v>47</v>
      </c>
      <c r="B13" s="2" t="s">
        <v>48</v>
      </c>
      <c r="C13" s="4">
        <v>150.0</v>
      </c>
      <c r="D13" s="2" t="s">
        <v>49</v>
      </c>
    </row>
    <row r="14">
      <c r="A14" s="2" t="s">
        <v>50</v>
      </c>
      <c r="B14" s="2" t="s">
        <v>51</v>
      </c>
      <c r="C14" s="4">
        <v>120.0</v>
      </c>
      <c r="D14" s="2" t="s">
        <v>52</v>
      </c>
    </row>
    <row r="15">
      <c r="A15" s="2" t="s">
        <v>53</v>
      </c>
      <c r="B15" s="2" t="s">
        <v>54</v>
      </c>
      <c r="C15" s="4">
        <v>110.0</v>
      </c>
      <c r="D15" s="2" t="s">
        <v>55</v>
      </c>
    </row>
    <row r="16">
      <c r="A16" s="2" t="s">
        <v>57</v>
      </c>
      <c r="B16" s="2" t="s">
        <v>58</v>
      </c>
      <c r="C16" s="4">
        <v>250.0</v>
      </c>
      <c r="D16" s="2" t="s">
        <v>61</v>
      </c>
    </row>
    <row r="17">
      <c r="A17" s="2" t="s">
        <v>63</v>
      </c>
      <c r="B17" s="19" t="s">
        <v>64</v>
      </c>
      <c r="C17" s="4">
        <v>250.0</v>
      </c>
      <c r="D17" s="2" t="s">
        <v>61</v>
      </c>
    </row>
    <row r="18">
      <c r="A18" s="2" t="s">
        <v>65</v>
      </c>
      <c r="B18" s="20" t="s">
        <v>66</v>
      </c>
      <c r="C18" s="11">
        <v>850.0</v>
      </c>
      <c r="D18" s="2" t="s">
        <v>61</v>
      </c>
    </row>
    <row r="19">
      <c r="A19" s="2" t="s">
        <v>67</v>
      </c>
      <c r="B19" s="20" t="s">
        <v>68</v>
      </c>
      <c r="C19" s="11">
        <v>500.0</v>
      </c>
      <c r="D19" s="2" t="s">
        <v>61</v>
      </c>
    </row>
    <row r="20">
      <c r="A20" s="2" t="s">
        <v>69</v>
      </c>
      <c r="B20" s="2" t="s">
        <v>70</v>
      </c>
      <c r="C20" s="11">
        <v>4.0</v>
      </c>
      <c r="D20" s="2" t="s">
        <v>71</v>
      </c>
    </row>
    <row r="21">
      <c r="A21" s="2" t="s">
        <v>72</v>
      </c>
      <c r="B21" s="2" t="s">
        <v>73</v>
      </c>
      <c r="C21" s="4">
        <v>5.0</v>
      </c>
      <c r="D21" s="19" t="s">
        <v>74</v>
      </c>
    </row>
    <row r="22">
      <c r="A22" s="2" t="s">
        <v>75</v>
      </c>
      <c r="B22" s="19" t="s">
        <v>76</v>
      </c>
      <c r="C22" s="11">
        <v>50.0</v>
      </c>
      <c r="D22" s="19" t="s">
        <v>78</v>
      </c>
    </row>
    <row r="23" ht="15.75" customHeight="1"/>
    <row r="24" ht="15.75" customHeight="1"/>
    <row r="25" ht="15.75" customHeight="1"/>
    <row r="26" ht="15.75" customHeight="1">
      <c r="A26" s="24" t="s">
        <v>79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ustomSheetViews>
    <customSheetView guid="{453A5209-CFEB-4EF7-AFF3-82B0B9E2957C}" filter="1" showAutoFilter="1">
      <autoFilter ref="$A$2:$D$22"/>
    </customSheetView>
  </customSheetViews>
  <mergeCells count="1">
    <mergeCell ref="A26:B26"/>
  </mergeCells>
  <dataValidations>
    <dataValidation type="decimal" operator="greaterThan" allowBlank="1" sqref="C3:C22">
      <formula1>0.0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4.0"/>
    <col customWidth="1" min="2" max="2" width="13.0"/>
    <col customWidth="1" min="3" max="3" width="12.0"/>
    <col customWidth="1" min="4" max="4" width="17.0"/>
    <col customWidth="1" min="5" max="5" width="12.0"/>
    <col customWidth="1" min="6" max="6" width="11.0"/>
    <col customWidth="1" min="7" max="8" width="12.0"/>
    <col customWidth="1" min="9" max="9" width="13.0"/>
    <col customWidth="1" min="10" max="10" width="16.0"/>
    <col customWidth="1" min="11" max="26" width="8.71"/>
  </cols>
  <sheetData>
    <row r="2" ht="31.5" customHeight="1">
      <c r="A2" s="1" t="s">
        <v>1</v>
      </c>
      <c r="B2" s="1" t="s">
        <v>9</v>
      </c>
      <c r="C2" s="1" t="s">
        <v>10</v>
      </c>
      <c r="D2" s="1" t="s">
        <v>20</v>
      </c>
      <c r="E2" s="1" t="s">
        <v>22</v>
      </c>
      <c r="F2" s="1" t="s">
        <v>24</v>
      </c>
      <c r="G2" s="1" t="s">
        <v>25</v>
      </c>
      <c r="H2" s="1" t="s">
        <v>27</v>
      </c>
      <c r="I2" s="1" t="s">
        <v>29</v>
      </c>
      <c r="J2" s="1" t="s">
        <v>31</v>
      </c>
    </row>
    <row r="3">
      <c r="A3" s="10" t="s">
        <v>5</v>
      </c>
      <c r="B3" s="12">
        <v>340.0</v>
      </c>
      <c r="C3" s="12">
        <v>12.0</v>
      </c>
      <c r="D3" s="12">
        <v>71.0</v>
      </c>
      <c r="E3" s="12">
        <v>0.4</v>
      </c>
      <c r="F3" s="12">
        <v>1.5</v>
      </c>
      <c r="G3" s="12">
        <v>0.3</v>
      </c>
      <c r="H3" s="12">
        <v>11.5</v>
      </c>
      <c r="I3" s="12">
        <v>2.0</v>
      </c>
      <c r="J3" s="10" t="s">
        <v>40</v>
      </c>
    </row>
    <row r="4">
      <c r="A4" s="10" t="s">
        <v>15</v>
      </c>
      <c r="B4" s="12">
        <v>354.0</v>
      </c>
      <c r="C4" s="12">
        <v>12.0</v>
      </c>
      <c r="D4" s="12">
        <v>73.0</v>
      </c>
      <c r="E4" s="12">
        <v>0.8</v>
      </c>
      <c r="F4" s="12">
        <v>2.3</v>
      </c>
      <c r="G4" s="12">
        <v>0.5</v>
      </c>
      <c r="H4" s="12">
        <v>17.0</v>
      </c>
      <c r="I4" s="12">
        <v>12.0</v>
      </c>
      <c r="J4" s="10" t="s">
        <v>40</v>
      </c>
    </row>
    <row r="5">
      <c r="A5" s="10" t="s">
        <v>18</v>
      </c>
      <c r="B5" s="12">
        <v>354.0</v>
      </c>
      <c r="C5" s="12">
        <v>12.5</v>
      </c>
      <c r="D5" s="12">
        <v>73.0</v>
      </c>
      <c r="E5" s="12">
        <v>0.8</v>
      </c>
      <c r="F5" s="12">
        <v>2.3</v>
      </c>
      <c r="G5" s="12">
        <v>0.5</v>
      </c>
      <c r="H5" s="12">
        <v>17.5</v>
      </c>
      <c r="I5" s="12">
        <v>12.0</v>
      </c>
      <c r="J5" s="10" t="s">
        <v>40</v>
      </c>
    </row>
    <row r="6">
      <c r="A6" s="10" t="s">
        <v>23</v>
      </c>
      <c r="B6" s="12">
        <v>360.0</v>
      </c>
      <c r="C6" s="12">
        <v>20.0</v>
      </c>
      <c r="D6" s="12">
        <v>60.0</v>
      </c>
      <c r="E6" s="12">
        <v>2.5</v>
      </c>
      <c r="F6" s="12">
        <v>5.0</v>
      </c>
      <c r="G6" s="12">
        <v>0.6</v>
      </c>
      <c r="H6" s="12">
        <v>17.0</v>
      </c>
      <c r="I6" s="12">
        <v>24.0</v>
      </c>
      <c r="J6" s="10" t="s">
        <v>40</v>
      </c>
    </row>
    <row r="7">
      <c r="A7" s="10" t="s">
        <v>30</v>
      </c>
      <c r="B7" s="12">
        <v>360.0</v>
      </c>
      <c r="C7" s="12">
        <v>21.0</v>
      </c>
      <c r="D7" s="12">
        <v>59.0</v>
      </c>
      <c r="E7" s="12">
        <v>2.5</v>
      </c>
      <c r="F7" s="12">
        <v>5.2</v>
      </c>
      <c r="G7" s="12">
        <v>0.6</v>
      </c>
      <c r="H7" s="12">
        <v>18.0</v>
      </c>
      <c r="I7" s="12">
        <v>24.0</v>
      </c>
      <c r="J7" s="10" t="s">
        <v>40</v>
      </c>
    </row>
    <row r="8">
      <c r="A8" s="10" t="s">
        <v>34</v>
      </c>
      <c r="B8" s="12">
        <v>446.0</v>
      </c>
      <c r="C8" s="12">
        <v>36.0</v>
      </c>
      <c r="D8" s="12">
        <v>30.0</v>
      </c>
      <c r="E8" s="12">
        <v>7.0</v>
      </c>
      <c r="F8" s="12">
        <v>20.0</v>
      </c>
      <c r="G8" s="12">
        <v>2.8</v>
      </c>
      <c r="H8" s="12">
        <v>9.0</v>
      </c>
      <c r="I8" s="12">
        <v>2.0</v>
      </c>
      <c r="J8" s="10" t="s">
        <v>40</v>
      </c>
    </row>
    <row r="9">
      <c r="A9" s="10" t="s">
        <v>37</v>
      </c>
      <c r="B9" s="12">
        <v>349.0</v>
      </c>
      <c r="C9" s="12">
        <v>10.4</v>
      </c>
      <c r="D9" s="12">
        <v>72.0</v>
      </c>
      <c r="E9" s="12">
        <v>1.2</v>
      </c>
      <c r="F9" s="12">
        <v>3.3</v>
      </c>
      <c r="G9" s="12">
        <v>0.7</v>
      </c>
      <c r="H9" s="12">
        <v>10.0</v>
      </c>
      <c r="I9" s="12">
        <v>6.0</v>
      </c>
      <c r="J9" s="10" t="s">
        <v>40</v>
      </c>
    </row>
    <row r="10">
      <c r="A10" s="10" t="s">
        <v>41</v>
      </c>
      <c r="B10" s="12">
        <v>328.0</v>
      </c>
      <c r="C10" s="12">
        <v>7.3</v>
      </c>
      <c r="D10" s="12">
        <v>72.0</v>
      </c>
      <c r="E10" s="12">
        <v>0.6</v>
      </c>
      <c r="F10" s="12">
        <v>1.3</v>
      </c>
      <c r="G10" s="12">
        <v>0.3</v>
      </c>
      <c r="H10" s="12">
        <v>11.5</v>
      </c>
      <c r="I10" s="12">
        <v>11.0</v>
      </c>
      <c r="J10" s="10" t="s">
        <v>40</v>
      </c>
    </row>
    <row r="11">
      <c r="A11" s="10" t="s">
        <v>43</v>
      </c>
      <c r="B11" s="12">
        <v>361.0</v>
      </c>
      <c r="C11" s="12">
        <v>11.6</v>
      </c>
      <c r="D11" s="12">
        <v>67.0</v>
      </c>
      <c r="E11" s="12">
        <v>0.5</v>
      </c>
      <c r="F11" s="12">
        <v>5.0</v>
      </c>
      <c r="G11" s="12">
        <v>0.9</v>
      </c>
      <c r="H11" s="12">
        <v>11.3</v>
      </c>
      <c r="I11" s="12">
        <v>10.0</v>
      </c>
      <c r="J11" s="10" t="s">
        <v>40</v>
      </c>
    </row>
    <row r="12">
      <c r="A12" s="10" t="s">
        <v>45</v>
      </c>
      <c r="B12" s="12">
        <v>534.0</v>
      </c>
      <c r="C12" s="12">
        <v>18.0</v>
      </c>
      <c r="D12" s="12">
        <v>29.0</v>
      </c>
      <c r="E12" s="12">
        <v>1.5</v>
      </c>
      <c r="F12" s="12">
        <v>42.0</v>
      </c>
      <c r="G12" s="12">
        <v>3.7</v>
      </c>
      <c r="H12" s="12">
        <v>27.0</v>
      </c>
      <c r="I12" s="12">
        <v>30.0</v>
      </c>
      <c r="J12" s="10" t="s">
        <v>40</v>
      </c>
    </row>
    <row r="13">
      <c r="A13" s="10" t="s">
        <v>48</v>
      </c>
      <c r="B13" s="12">
        <v>189.0</v>
      </c>
      <c r="C13" s="12">
        <v>0.0</v>
      </c>
      <c r="D13" s="12">
        <v>89.0</v>
      </c>
      <c r="E13" s="12">
        <v>0.0</v>
      </c>
      <c r="F13" s="12">
        <v>0.5</v>
      </c>
      <c r="G13" s="12">
        <v>0.1</v>
      </c>
      <c r="H13" s="12">
        <v>78.0</v>
      </c>
      <c r="I13" s="12">
        <v>100.0</v>
      </c>
      <c r="J13" s="10" t="s">
        <v>40</v>
      </c>
    </row>
    <row r="14">
      <c r="A14" s="10" t="s">
        <v>51</v>
      </c>
      <c r="B14" s="12">
        <v>343.0</v>
      </c>
      <c r="C14" s="12">
        <v>13.3</v>
      </c>
      <c r="D14" s="12">
        <v>71.5</v>
      </c>
      <c r="E14" s="12">
        <v>1.5</v>
      </c>
      <c r="F14" s="12">
        <v>3.4</v>
      </c>
      <c r="G14" s="12">
        <v>0.7</v>
      </c>
      <c r="H14" s="12">
        <v>10.0</v>
      </c>
      <c r="I14" s="12">
        <v>1.0</v>
      </c>
      <c r="J14" s="10" t="s">
        <v>40</v>
      </c>
    </row>
    <row r="15">
      <c r="A15" s="10" t="s">
        <v>54</v>
      </c>
      <c r="B15" s="12">
        <v>347.0</v>
      </c>
      <c r="C15" s="12">
        <v>23.9</v>
      </c>
      <c r="D15" s="12">
        <v>62.6</v>
      </c>
      <c r="E15" s="12">
        <v>2.0</v>
      </c>
      <c r="F15" s="12">
        <v>1.2</v>
      </c>
      <c r="G15" s="12">
        <v>0.3</v>
      </c>
      <c r="H15" s="12">
        <v>16.3</v>
      </c>
      <c r="I15" s="12">
        <v>15.0</v>
      </c>
      <c r="J15" s="10" t="s">
        <v>40</v>
      </c>
    </row>
    <row r="16">
      <c r="A16" s="10" t="s">
        <v>58</v>
      </c>
      <c r="B16" s="12">
        <v>486.0</v>
      </c>
      <c r="C16" s="12">
        <v>16.5</v>
      </c>
      <c r="D16" s="12">
        <v>42.1</v>
      </c>
      <c r="E16" s="12">
        <v>0.8</v>
      </c>
      <c r="F16" s="12">
        <v>30.7</v>
      </c>
      <c r="G16" s="12">
        <v>3.3</v>
      </c>
      <c r="H16" s="12">
        <v>34.4</v>
      </c>
      <c r="I16" s="12">
        <v>16.0</v>
      </c>
      <c r="J16" s="10" t="s">
        <v>40</v>
      </c>
    </row>
    <row r="17">
      <c r="A17" s="27" t="s">
        <v>66</v>
      </c>
      <c r="B17" s="12">
        <v>559.0</v>
      </c>
      <c r="C17" s="12">
        <v>30.2</v>
      </c>
      <c r="D17" s="12">
        <v>10.7</v>
      </c>
      <c r="E17" s="12">
        <v>1.4</v>
      </c>
      <c r="F17" s="12">
        <v>49.1</v>
      </c>
      <c r="G17" s="12">
        <v>8.7</v>
      </c>
      <c r="H17" s="12">
        <v>6.0</v>
      </c>
      <c r="I17" s="12">
        <v>7.0</v>
      </c>
      <c r="J17" s="10" t="s">
        <v>40</v>
      </c>
    </row>
    <row r="18">
      <c r="A18" s="27" t="s">
        <v>68</v>
      </c>
      <c r="B18" s="12">
        <v>584.0</v>
      </c>
      <c r="C18" s="12">
        <v>20.8</v>
      </c>
      <c r="D18" s="12">
        <v>20.0</v>
      </c>
      <c r="E18" s="12">
        <v>2.6</v>
      </c>
      <c r="F18" s="12">
        <v>51.5</v>
      </c>
      <c r="G18" s="12">
        <v>4.5</v>
      </c>
      <c r="H18" s="12">
        <v>8.6</v>
      </c>
      <c r="I18" s="12">
        <v>9.0</v>
      </c>
      <c r="J18" s="10" t="s">
        <v>40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ustomSheetViews>
    <customSheetView guid="{BD6A6DB6-33D8-4589-AEC6-CC932D3968C5}" filter="1" showAutoFilter="1">
      <autoFilter ref="$A$2:$J$18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 fitToPage="1"/>
  </sheetPr>
  <sheetViews>
    <sheetView showGridLines="0" workbookViewId="0"/>
  </sheetViews>
  <sheetFormatPr customHeight="1" defaultColWidth="14.43" defaultRowHeight="15.0"/>
  <cols>
    <col customWidth="1" min="1" max="1" width="31.0"/>
    <col customWidth="1" min="2" max="2" width="12.0"/>
    <col customWidth="1" min="3" max="4" width="13.0"/>
    <col customWidth="1" min="5" max="5" width="14.29"/>
    <col customWidth="1" min="6" max="6" width="18.14"/>
    <col customWidth="1" min="7" max="7" width="19.43"/>
    <col customWidth="1" min="8" max="8" width="3.0"/>
    <col customWidth="1" min="9" max="9" width="21.0"/>
    <col customWidth="1" min="10" max="10" width="25.29"/>
    <col customWidth="1" min="11" max="11" width="13.86"/>
    <col customWidth="1" min="12" max="12" width="27.43"/>
    <col customWidth="1" min="13" max="26" width="8.71"/>
  </cols>
  <sheetData>
    <row r="1" ht="31.5" customHeight="1">
      <c r="A1" s="3" t="s">
        <v>1</v>
      </c>
      <c r="B1" s="3" t="s">
        <v>6</v>
      </c>
      <c r="C1" s="3" t="s">
        <v>7</v>
      </c>
      <c r="D1" s="3" t="s">
        <v>8</v>
      </c>
      <c r="E1" s="3" t="s">
        <v>2</v>
      </c>
      <c r="F1" s="3" t="s">
        <v>12</v>
      </c>
      <c r="G1" s="3" t="s">
        <v>14</v>
      </c>
      <c r="I1" s="5"/>
      <c r="J1" s="6"/>
      <c r="K1" s="6"/>
      <c r="L1" s="7"/>
    </row>
    <row r="2" ht="22.5" customHeight="1">
      <c r="A2" s="8" t="s">
        <v>5</v>
      </c>
      <c r="B2" s="9">
        <v>0.75</v>
      </c>
      <c r="C2" s="13">
        <f t="shared" ref="C2:C9" si="1">B2*5</f>
        <v>3.75</v>
      </c>
      <c r="D2" s="13">
        <f t="shared" ref="D2:D9" si="2">B2*10</f>
        <v>7.5</v>
      </c>
      <c r="E2" s="15">
        <f t="array" ref="E2">IFERROR(_xlfn.XLOOKUP(A2,tblPrices[Ingredient],tblPrices[Rate ₹/kg],0),0)</f>
        <v>35</v>
      </c>
      <c r="F2" s="15">
        <f t="shared" ref="F2:F9" si="3">C2*E2</f>
        <v>131.25</v>
      </c>
      <c r="G2" s="15">
        <f t="shared" ref="G2:G9" si="4">D2*E2</f>
        <v>262.5</v>
      </c>
      <c r="I2" s="17" t="s">
        <v>56</v>
      </c>
      <c r="J2" s="17" t="s">
        <v>59</v>
      </c>
      <c r="K2" s="17" t="s">
        <v>60</v>
      </c>
      <c r="L2" s="17" t="s">
        <v>62</v>
      </c>
    </row>
    <row r="3" ht="22.5" customHeight="1">
      <c r="A3" s="8" t="s">
        <v>23</v>
      </c>
      <c r="B3" s="9">
        <v>0.08</v>
      </c>
      <c r="C3" s="13">
        <f t="shared" si="1"/>
        <v>0.4</v>
      </c>
      <c r="D3" s="13">
        <f t="shared" si="2"/>
        <v>0.8</v>
      </c>
      <c r="E3" s="15">
        <f t="array" ref="E3">IFERROR(_xlfn.XLOOKUP(A3,tblPrices[Ingredient],tblPrices[Rate ₹/kg],0),0)</f>
        <v>80</v>
      </c>
      <c r="F3" s="15">
        <f t="shared" si="3"/>
        <v>32</v>
      </c>
      <c r="G3" s="15">
        <f t="shared" si="4"/>
        <v>64</v>
      </c>
      <c r="I3" s="22" t="s">
        <v>77</v>
      </c>
      <c r="J3" s="25">
        <f t="array" ref="J3">IFERROR(SUMPRODUCT($B$2:$B$9,_xlfn.XLOOKUP($A$2:$A$9,tblNutrients[Ingredient],tblNutrients[Energy kcal],0)),0)</f>
        <v>348.93</v>
      </c>
      <c r="K3" s="26" t="s">
        <v>80</v>
      </c>
      <c r="L3" s="22" t="s">
        <v>81</v>
      </c>
    </row>
    <row r="4" ht="22.5" customHeight="1">
      <c r="A4" s="8" t="s">
        <v>15</v>
      </c>
      <c r="B4" s="9">
        <v>0.05</v>
      </c>
      <c r="C4" s="13">
        <f t="shared" si="1"/>
        <v>0.25</v>
      </c>
      <c r="D4" s="13">
        <f t="shared" si="2"/>
        <v>0.5</v>
      </c>
      <c r="E4" s="15">
        <f t="array" ref="E4">IFERROR(_xlfn.XLOOKUP(A4,tblPrices[Ingredient],tblPrices[Rate ₹/kg],0),0)</f>
        <v>50</v>
      </c>
      <c r="F4" s="15">
        <f t="shared" si="3"/>
        <v>12.5</v>
      </c>
      <c r="G4" s="15">
        <f t="shared" si="4"/>
        <v>25</v>
      </c>
      <c r="I4" s="22" t="s">
        <v>82</v>
      </c>
      <c r="J4" s="25">
        <f t="array" ref="J4">IFERROR(SUMPRODUCT($B$2:$B$9,_xlfn.XLOOKUP($A$2:$A$9,tblNutrients[Ingredient],tblNutrients[Protein g],0)),0)</f>
        <v>13.51</v>
      </c>
      <c r="K4" s="26" t="s">
        <v>83</v>
      </c>
      <c r="L4" s="22" t="s">
        <v>81</v>
      </c>
    </row>
    <row r="5" ht="22.5" customHeight="1">
      <c r="A5" s="8" t="s">
        <v>34</v>
      </c>
      <c r="B5" s="9">
        <v>0.04</v>
      </c>
      <c r="C5" s="13">
        <f t="shared" si="1"/>
        <v>0.2</v>
      </c>
      <c r="D5" s="13">
        <f t="shared" si="2"/>
        <v>0.4</v>
      </c>
      <c r="E5" s="15">
        <f t="array" ref="E5">IFERROR(_xlfn.XLOOKUP(A5,tblPrices[Ingredient],tblPrices[Rate ₹/kg],0),0)</f>
        <v>120</v>
      </c>
      <c r="F5" s="15">
        <f t="shared" si="3"/>
        <v>24</v>
      </c>
      <c r="G5" s="15">
        <f t="shared" si="4"/>
        <v>48</v>
      </c>
      <c r="I5" s="22" t="s">
        <v>84</v>
      </c>
      <c r="J5" s="25">
        <f t="array" ref="J5">IFERROR(SUMPRODUCT($B$2:$B$9,_xlfn.XLOOKUP($A$2:$A$9,tblNutrients[Ingredient],tblNutrients[Carbohydrates g],0)),0)</f>
        <v>68.13</v>
      </c>
      <c r="K5" s="26" t="s">
        <v>83</v>
      </c>
      <c r="L5" s="22" t="s">
        <v>81</v>
      </c>
    </row>
    <row r="6" ht="22.5" customHeight="1">
      <c r="A6" s="8" t="s">
        <v>37</v>
      </c>
      <c r="B6" s="9">
        <v>0.03</v>
      </c>
      <c r="C6" s="13">
        <f t="shared" si="1"/>
        <v>0.15</v>
      </c>
      <c r="D6" s="13">
        <f t="shared" si="2"/>
        <v>0.3</v>
      </c>
      <c r="E6" s="15">
        <f t="array" ref="E6">IFERROR(_xlfn.XLOOKUP(A6,tblPrices[Ingredient],tblPrices[Rate ₹/kg],0),0)</f>
        <v>100</v>
      </c>
      <c r="F6" s="15">
        <f t="shared" si="3"/>
        <v>15</v>
      </c>
      <c r="G6" s="15">
        <f t="shared" si="4"/>
        <v>30</v>
      </c>
      <c r="I6" s="22" t="s">
        <v>85</v>
      </c>
      <c r="J6" s="25">
        <f t="array" ref="J6">IFERROR(SUMPRODUCT($B$2:$B$9,_xlfn.XLOOKUP($A$2:$A$9,tblNutrients[Ingredient],tblNutrients[Sugars g],0)),0)</f>
        <v>0.893</v>
      </c>
      <c r="K6" s="26" t="s">
        <v>83</v>
      </c>
      <c r="L6" s="22" t="s">
        <v>81</v>
      </c>
    </row>
    <row r="7" ht="22.5" customHeight="1">
      <c r="A7" s="8" t="s">
        <v>41</v>
      </c>
      <c r="B7" s="9">
        <v>0.02</v>
      </c>
      <c r="C7" s="13">
        <f t="shared" si="1"/>
        <v>0.1</v>
      </c>
      <c r="D7" s="13">
        <f t="shared" si="2"/>
        <v>0.2</v>
      </c>
      <c r="E7" s="15">
        <f t="array" ref="E7">IFERROR(_xlfn.XLOOKUP(A7,tblPrices[Ingredient],tblPrices[Rate ₹/kg],0),0)</f>
        <v>70</v>
      </c>
      <c r="F7" s="15">
        <f t="shared" si="3"/>
        <v>7</v>
      </c>
      <c r="G7" s="15">
        <f t="shared" si="4"/>
        <v>14</v>
      </c>
      <c r="I7" s="22" t="s">
        <v>86</v>
      </c>
      <c r="J7" s="25">
        <f>0</f>
        <v>0</v>
      </c>
      <c r="K7" s="26" t="s">
        <v>83</v>
      </c>
      <c r="L7" s="22" t="s">
        <v>87</v>
      </c>
    </row>
    <row r="8" ht="22.5" customHeight="1">
      <c r="A8" s="8" t="s">
        <v>43</v>
      </c>
      <c r="B8" s="9">
        <v>0.02</v>
      </c>
      <c r="C8" s="13">
        <f t="shared" si="1"/>
        <v>0.1</v>
      </c>
      <c r="D8" s="13">
        <f t="shared" si="2"/>
        <v>0.2</v>
      </c>
      <c r="E8" s="15">
        <f t="array" ref="E8">IFERROR(_xlfn.XLOOKUP(A8,tblPrices[Ingredient],tblPrices[Rate ₹/kg],0),0)</f>
        <v>40</v>
      </c>
      <c r="F8" s="15">
        <f t="shared" si="3"/>
        <v>4</v>
      </c>
      <c r="G8" s="15">
        <f t="shared" si="4"/>
        <v>8</v>
      </c>
      <c r="I8" s="22" t="s">
        <v>88</v>
      </c>
      <c r="J8" s="25">
        <f t="array" ref="J8">IFERROR(SUMPRODUCT($B$2:$B$9,_xlfn.XLOOKUP($A$2:$A$9,tblNutrients[Ingredient],tblNutrients[Fat g],0)),0)</f>
        <v>3.085</v>
      </c>
      <c r="K8" s="26" t="s">
        <v>83</v>
      </c>
      <c r="L8" s="22" t="s">
        <v>81</v>
      </c>
    </row>
    <row r="9" ht="22.5" customHeight="1">
      <c r="A9" s="8" t="s">
        <v>45</v>
      </c>
      <c r="B9" s="9">
        <v>0.01</v>
      </c>
      <c r="C9" s="13">
        <f t="shared" si="1"/>
        <v>0.05</v>
      </c>
      <c r="D9" s="13">
        <f t="shared" si="2"/>
        <v>0.1</v>
      </c>
      <c r="E9" s="15">
        <f t="array" ref="E9">IFERROR(_xlfn.XLOOKUP(A9,tblPrices[Ingredient],tblPrices[Rate ₹/kg],0),0)</f>
        <v>150</v>
      </c>
      <c r="F9" s="15">
        <f t="shared" si="3"/>
        <v>7.5</v>
      </c>
      <c r="G9" s="15">
        <f t="shared" si="4"/>
        <v>15</v>
      </c>
      <c r="I9" s="22" t="s">
        <v>89</v>
      </c>
      <c r="J9" s="25">
        <f t="array" ref="J9">IFERROR(SUMPRODUCT($B$2:$B$9,_xlfn.XLOOKUP($A$2:$A$9,tblNutrients[Ingredient],tblNutrients[Sat Fat g],0)),0)</f>
        <v>0.492</v>
      </c>
      <c r="K9" s="26" t="s">
        <v>83</v>
      </c>
      <c r="L9" s="22" t="s">
        <v>81</v>
      </c>
    </row>
    <row r="10" ht="22.5" customHeight="1">
      <c r="A10" s="28" t="s">
        <v>90</v>
      </c>
      <c r="B10" s="29">
        <f t="shared" ref="B10:D10" si="5">SUM(B2:B9)</f>
        <v>1</v>
      </c>
      <c r="C10" s="30">
        <f t="shared" si="5"/>
        <v>5</v>
      </c>
      <c r="D10" s="30">
        <f t="shared" si="5"/>
        <v>10</v>
      </c>
      <c r="E10" s="31"/>
      <c r="F10" s="31">
        <f t="shared" ref="F10:G10" si="6">SUM(F2:F9)</f>
        <v>233.25</v>
      </c>
      <c r="G10" s="31">
        <f t="shared" si="6"/>
        <v>466.5</v>
      </c>
      <c r="I10" s="22" t="s">
        <v>91</v>
      </c>
      <c r="J10" s="25">
        <f>0</f>
        <v>0</v>
      </c>
      <c r="K10" s="26" t="s">
        <v>83</v>
      </c>
      <c r="L10" s="22" t="s">
        <v>87</v>
      </c>
    </row>
    <row r="11" ht="22.5" customHeight="1">
      <c r="A11" s="28" t="s">
        <v>92</v>
      </c>
      <c r="B11" s="28"/>
      <c r="C11" s="28"/>
      <c r="D11" s="28"/>
      <c r="E11" s="31">
        <f t="array" ref="E11">_xlfn.XLOOKUP("Milling &amp; Roasting Cost",tblPrices[Ingredient],tblPrices[Rate ₹/kg],0)</f>
        <v>4</v>
      </c>
      <c r="F11" s="31">
        <f t="shared" ref="F11:F12" si="7">5*E11</f>
        <v>20</v>
      </c>
      <c r="G11" s="31">
        <f t="shared" ref="G11:G12" si="8">10*E11</f>
        <v>40</v>
      </c>
      <c r="I11" s="22" t="s">
        <v>93</v>
      </c>
      <c r="J11" s="25">
        <f t="array" ref="J11">IFERROR(SUMPRODUCT($B$2:$B$9,_xlfn.XLOOKUP($A$2:$A$9,tblNutrients[Ingredient],tblNutrients[Fibre g],0)),0)</f>
        <v>12.221</v>
      </c>
      <c r="K11" s="26" t="s">
        <v>83</v>
      </c>
      <c r="L11" s="22" t="s">
        <v>81</v>
      </c>
    </row>
    <row r="12" ht="22.5" customHeight="1">
      <c r="A12" s="28" t="s">
        <v>94</v>
      </c>
      <c r="B12" s="28"/>
      <c r="C12" s="28"/>
      <c r="D12" s="28"/>
      <c r="E12" s="31">
        <f t="array" ref="E12">_xlfn.XLOOKUP("3-Layer Laminated Pouch",tblPrices[Ingredient],tblPrices[Rate ₹/kg],0)</f>
        <v>5</v>
      </c>
      <c r="F12" s="31">
        <f t="shared" si="7"/>
        <v>25</v>
      </c>
      <c r="G12" s="31">
        <f t="shared" si="8"/>
        <v>50</v>
      </c>
      <c r="I12" s="22" t="s">
        <v>95</v>
      </c>
      <c r="J12" s="25">
        <f t="array" ref="J12">IFERROR(SUMPRODUCT($B$2:$B$9,_xlfn.XLOOKUP($A$2:$A$9,tblNutrients[Ingredient],tblNutrients[Sodium mg],0)),0)</f>
        <v>5</v>
      </c>
      <c r="K12" s="26" t="s">
        <v>96</v>
      </c>
      <c r="L12" s="22" t="s">
        <v>81</v>
      </c>
    </row>
    <row r="13" ht="22.5" customHeight="1">
      <c r="A13" s="32" t="s">
        <v>97</v>
      </c>
      <c r="B13" s="32"/>
      <c r="C13" s="32"/>
      <c r="D13" s="32"/>
      <c r="E13" s="33">
        <f>SUM(Ingredient_1[Rate ₹/kg])</f>
        <v>654</v>
      </c>
      <c r="F13" s="33">
        <f t="shared" ref="F13:G13" si="9">SUM(F10:F12)</f>
        <v>278.25</v>
      </c>
      <c r="G13" s="33">
        <f t="shared" si="9"/>
        <v>556.5</v>
      </c>
      <c r="I13" s="22" t="s">
        <v>98</v>
      </c>
      <c r="J13" s="25">
        <f>0</f>
        <v>0</v>
      </c>
      <c r="K13" s="26" t="s">
        <v>96</v>
      </c>
      <c r="L13" s="22" t="s">
        <v>87</v>
      </c>
    </row>
    <row r="15" ht="31.5" customHeight="1">
      <c r="A15" s="23"/>
      <c r="B15" s="23"/>
      <c r="C15" s="23"/>
      <c r="D15" s="23"/>
      <c r="E15" s="23"/>
    </row>
    <row r="16" ht="31.5" customHeight="1">
      <c r="A16" s="17" t="s">
        <v>56</v>
      </c>
      <c r="B16" s="17" t="s">
        <v>99</v>
      </c>
      <c r="C16" s="17" t="s">
        <v>100</v>
      </c>
      <c r="D16" s="17" t="s">
        <v>101</v>
      </c>
      <c r="E16" s="17" t="s">
        <v>102</v>
      </c>
    </row>
    <row r="17" ht="15.75" customHeight="1">
      <c r="A17" s="34" t="s">
        <v>97</v>
      </c>
      <c r="B17" s="15">
        <f>G13/10</f>
        <v>55.65</v>
      </c>
      <c r="C17" s="15">
        <f t="shared" ref="C17:D17" si="10">F13</f>
        <v>278.25</v>
      </c>
      <c r="D17" s="15">
        <f t="shared" si="10"/>
        <v>556.5</v>
      </c>
      <c r="E17" s="22" t="s">
        <v>103</v>
      </c>
    </row>
    <row r="18" ht="15.75" customHeight="1">
      <c r="A18" s="34" t="s">
        <v>104</v>
      </c>
      <c r="B18" s="15">
        <f t="shared" ref="B18:B19" si="11">D18/10</f>
        <v>95</v>
      </c>
      <c r="C18" s="15">
        <f t="shared" ref="C18:C19" si="12">D18/2</f>
        <v>475</v>
      </c>
      <c r="D18" s="35">
        <v>950.0</v>
      </c>
      <c r="E18" s="22" t="s">
        <v>105</v>
      </c>
    </row>
    <row r="19" ht="15.75" customHeight="1">
      <c r="A19" s="34" t="s">
        <v>106</v>
      </c>
      <c r="B19" s="15">
        <f t="shared" si="11"/>
        <v>76</v>
      </c>
      <c r="C19" s="15">
        <f t="shared" si="12"/>
        <v>380</v>
      </c>
      <c r="D19" s="35">
        <v>760.0</v>
      </c>
      <c r="E19" s="22" t="s">
        <v>107</v>
      </c>
    </row>
    <row r="20" ht="15.75" customHeight="1">
      <c r="A20" s="34" t="s">
        <v>108</v>
      </c>
      <c r="B20" s="15">
        <f t="shared" ref="B20:D20" si="13">B18-B17</f>
        <v>39.35</v>
      </c>
      <c r="C20" s="15">
        <f t="shared" si="13"/>
        <v>196.75</v>
      </c>
      <c r="D20" s="15">
        <f t="shared" si="13"/>
        <v>393.5</v>
      </c>
      <c r="E20" s="22" t="s">
        <v>109</v>
      </c>
    </row>
    <row r="21" ht="15.75" customHeight="1">
      <c r="A21" s="34" t="s">
        <v>110</v>
      </c>
      <c r="B21" s="15">
        <f t="shared" ref="B21:D21" si="14">B19-B17</f>
        <v>20.35</v>
      </c>
      <c r="C21" s="15">
        <f t="shared" si="14"/>
        <v>101.75</v>
      </c>
      <c r="D21" s="15">
        <f t="shared" si="14"/>
        <v>203.5</v>
      </c>
      <c r="E21" s="22" t="s">
        <v>111</v>
      </c>
    </row>
    <row r="22" ht="15.75" customHeight="1">
      <c r="A22" s="34" t="s">
        <v>112</v>
      </c>
      <c r="B22" s="38">
        <f>SUM(Pricing_Profit_Analysis_1[1 kg Pack])</f>
        <v>286.35</v>
      </c>
      <c r="C22" s="38">
        <f>SUM(Pricing_Profit_Analysis_1[5 kg Pack])</f>
        <v>1431.75</v>
      </c>
      <c r="D22" s="39">
        <f>IFERROR(D20/D18,0)</f>
        <v>0.4142105263</v>
      </c>
      <c r="E22" s="22" t="s">
        <v>113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">
    <mergeCell ref="I1:L1"/>
  </mergeCells>
  <dataValidations>
    <dataValidation type="decimal" allowBlank="1" sqref="B2:B9">
      <formula1>0.0</formula1>
      <formula2>1.0</formula2>
    </dataValidation>
    <dataValidation type="decimal" operator="greaterThan" allowBlank="1" sqref="D18:D19">
      <formula1>0.0</formula1>
    </dataValidation>
    <dataValidation type="custom" allowBlank="1" showDropDown="1" sqref="E2:G12 J3:J13 B17:C21">
      <formula1>AND(ISNUMBER(B2),(NOT(OR(NOT(ISERROR(DATEVALUE(B2))), AND(ISNUMBER(B2), LEFT(CELL("format", B2))="D")))))</formula1>
    </dataValidation>
    <dataValidation type="list" allowBlank="1" showDropDown="1" showErrorMessage="1" sqref="K3:K13">
      <formula1>"kcal,g,mg"</formula1>
    </dataValidation>
  </dataValidations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 fitToPage="1"/>
  </sheetPr>
  <sheetViews>
    <sheetView showGridLines="0" workbookViewId="0"/>
  </sheetViews>
  <sheetFormatPr customHeight="1" defaultColWidth="14.43" defaultRowHeight="15.0"/>
  <cols>
    <col customWidth="1" min="1" max="1" width="31.0"/>
    <col customWidth="1" min="2" max="2" width="12.0"/>
    <col customWidth="1" min="3" max="4" width="13.0"/>
    <col customWidth="1" min="5" max="5" width="14.29"/>
    <col customWidth="1" min="6" max="6" width="18.14"/>
    <col customWidth="1" min="7" max="7" width="19.43"/>
    <col customWidth="1" min="8" max="8" width="3.0"/>
    <col customWidth="1" min="9" max="9" width="21.0"/>
    <col customWidth="1" min="10" max="10" width="25.29"/>
    <col customWidth="1" min="11" max="11" width="10.14"/>
    <col customWidth="1" min="12" max="12" width="27.43"/>
    <col customWidth="1" min="13" max="26" width="8.71"/>
  </cols>
  <sheetData>
    <row r="1" ht="31.5" customHeight="1">
      <c r="A1" s="3" t="s">
        <v>1</v>
      </c>
      <c r="B1" s="3" t="s">
        <v>6</v>
      </c>
      <c r="C1" s="3" t="s">
        <v>7</v>
      </c>
      <c r="D1" s="3" t="s">
        <v>8</v>
      </c>
      <c r="E1" s="3" t="s">
        <v>2</v>
      </c>
      <c r="F1" s="3" t="s">
        <v>12</v>
      </c>
      <c r="G1" s="3" t="s">
        <v>14</v>
      </c>
      <c r="I1" s="5"/>
      <c r="J1" s="6"/>
      <c r="K1" s="6"/>
      <c r="L1" s="7"/>
    </row>
    <row r="2" ht="22.5" customHeight="1">
      <c r="A2" s="14"/>
      <c r="B2" s="16"/>
      <c r="C2" s="18">
        <f t="shared" ref="C2:C10" si="1">B2*5</f>
        <v>0</v>
      </c>
      <c r="D2" s="18">
        <f t="shared" ref="D2:D10" si="2">B2*10</f>
        <v>0</v>
      </c>
      <c r="E2" s="21">
        <f t="array" ref="E2">IFERROR(_xlfn.XLOOKUP(A2,tblPrices[Ingredient],tblPrices[Rate ₹/kg],0),0)</f>
        <v>0</v>
      </c>
      <c r="F2" s="21">
        <f t="shared" ref="F2:F10" si="3">C2*E2</f>
        <v>0</v>
      </c>
      <c r="G2" s="21">
        <f t="shared" ref="G2:G10" si="4">D2*E2</f>
        <v>0</v>
      </c>
      <c r="I2" s="23"/>
      <c r="J2" s="23"/>
      <c r="K2" s="23"/>
      <c r="L2" s="23"/>
    </row>
    <row r="3" ht="22.5" customHeight="1">
      <c r="A3" s="8" t="s">
        <v>5</v>
      </c>
      <c r="B3" s="9">
        <v>0.5</v>
      </c>
      <c r="C3" s="13">
        <f t="shared" si="1"/>
        <v>2.5</v>
      </c>
      <c r="D3" s="13">
        <f t="shared" si="2"/>
        <v>5</v>
      </c>
      <c r="E3" s="15">
        <f t="array" ref="E3">IFERROR(_xlfn.XLOOKUP(A3,tblPrices[Ingredient],tblPrices[Rate ₹/kg],0),0)</f>
        <v>35</v>
      </c>
      <c r="F3" s="15">
        <f t="shared" si="3"/>
        <v>87.5</v>
      </c>
      <c r="G3" s="15">
        <f t="shared" si="4"/>
        <v>175</v>
      </c>
      <c r="I3" s="17" t="s">
        <v>56</v>
      </c>
      <c r="J3" s="17" t="s">
        <v>59</v>
      </c>
      <c r="K3" s="17" t="s">
        <v>60</v>
      </c>
      <c r="L3" s="17" t="s">
        <v>62</v>
      </c>
    </row>
    <row r="4" ht="22.5" customHeight="1">
      <c r="A4" s="8" t="s">
        <v>18</v>
      </c>
      <c r="B4" s="9">
        <v>0.15</v>
      </c>
      <c r="C4" s="13">
        <f t="shared" si="1"/>
        <v>0.75</v>
      </c>
      <c r="D4" s="13">
        <f t="shared" si="2"/>
        <v>1.5</v>
      </c>
      <c r="E4" s="15">
        <f t="array" ref="E4">IFERROR(_xlfn.XLOOKUP(A4,tblPrices[Ingredient],tblPrices[Rate ₹/kg],0),0)</f>
        <v>70</v>
      </c>
      <c r="F4" s="15">
        <f t="shared" si="3"/>
        <v>52.5</v>
      </c>
      <c r="G4" s="15">
        <f t="shared" si="4"/>
        <v>105</v>
      </c>
      <c r="I4" s="22" t="s">
        <v>77</v>
      </c>
      <c r="J4" s="25">
        <f t="array" ref="J4">IFERROR(SUMPRODUCT($B$3:$B$10,_xlfn.XLOOKUP($A$3:$A$10,tblNutrients[Ingredient],tblNutrients[Energy kcal],0)),0)</f>
        <v>356.18</v>
      </c>
      <c r="K4" s="22" t="s">
        <v>80</v>
      </c>
      <c r="L4" s="22" t="s">
        <v>81</v>
      </c>
    </row>
    <row r="5" ht="22.5" customHeight="1">
      <c r="A5" s="8" t="s">
        <v>30</v>
      </c>
      <c r="B5" s="9">
        <v>0.1</v>
      </c>
      <c r="C5" s="13">
        <f t="shared" si="1"/>
        <v>0.5</v>
      </c>
      <c r="D5" s="13">
        <f t="shared" si="2"/>
        <v>1</v>
      </c>
      <c r="E5" s="15">
        <f t="array" ref="E5">IFERROR(_xlfn.XLOOKUP(A5,tblPrices[Ingredient],tblPrices[Rate ₹/kg],0),0)</f>
        <v>100</v>
      </c>
      <c r="F5" s="15">
        <f t="shared" si="3"/>
        <v>50</v>
      </c>
      <c r="G5" s="15">
        <f t="shared" si="4"/>
        <v>100</v>
      </c>
      <c r="I5" s="22" t="s">
        <v>82</v>
      </c>
      <c r="J5" s="25">
        <f t="array" ref="J5">IFERROR(SUMPRODUCT($B$3:$B$10,_xlfn.XLOOKUP($A$3:$A$10,tblNutrients[Ingredient],tblNutrients[Protein g],0)),0)</f>
        <v>13.976</v>
      </c>
      <c r="K5" s="22" t="s">
        <v>83</v>
      </c>
      <c r="L5" s="22" t="s">
        <v>81</v>
      </c>
    </row>
    <row r="6" ht="22.5" customHeight="1">
      <c r="A6" s="8" t="s">
        <v>37</v>
      </c>
      <c r="B6" s="9">
        <v>0.08</v>
      </c>
      <c r="C6" s="13">
        <f t="shared" si="1"/>
        <v>0.4</v>
      </c>
      <c r="D6" s="13">
        <f t="shared" si="2"/>
        <v>0.8</v>
      </c>
      <c r="E6" s="15">
        <f t="array" ref="E6">IFERROR(_xlfn.XLOOKUP(A6,tblPrices[Ingredient],tblPrices[Rate ₹/kg],0),0)</f>
        <v>100</v>
      </c>
      <c r="F6" s="15">
        <f t="shared" si="3"/>
        <v>40</v>
      </c>
      <c r="G6" s="15">
        <f t="shared" si="4"/>
        <v>80</v>
      </c>
      <c r="I6" s="22" t="s">
        <v>84</v>
      </c>
      <c r="J6" s="25">
        <f t="array" ref="J6">IFERROR(SUMPRODUCT($B$3:$B$10,_xlfn.XLOOKUP($A$3:$A$10,tblNutrients[Ingredient],tblNutrients[Carbohydrates g],0)),0)</f>
        <v>66.76</v>
      </c>
      <c r="K6" s="22" t="s">
        <v>83</v>
      </c>
      <c r="L6" s="22" t="s">
        <v>81</v>
      </c>
    </row>
    <row r="7" ht="22.5" customHeight="1">
      <c r="A7" s="8" t="s">
        <v>34</v>
      </c>
      <c r="B7" s="9">
        <v>0.05</v>
      </c>
      <c r="C7" s="13">
        <f t="shared" si="1"/>
        <v>0.25</v>
      </c>
      <c r="D7" s="13">
        <f t="shared" si="2"/>
        <v>0.5</v>
      </c>
      <c r="E7" s="15">
        <f t="array" ref="E7">IFERROR(_xlfn.XLOOKUP(A7,tblPrices[Ingredient],tblPrices[Rate ₹/kg],0),0)</f>
        <v>120</v>
      </c>
      <c r="F7" s="15">
        <f t="shared" si="3"/>
        <v>30</v>
      </c>
      <c r="G7" s="15">
        <f t="shared" si="4"/>
        <v>60</v>
      </c>
      <c r="I7" s="22" t="s">
        <v>85</v>
      </c>
      <c r="J7" s="25">
        <f t="array" ref="J7">IFERROR(SUMPRODUCT($B$3:$B$10,_xlfn.XLOOKUP($A$3:$A$10,tblNutrients[Ingredient],tblNutrients[Sugars g],0)),0)</f>
        <v>1.111</v>
      </c>
      <c r="K7" s="22" t="s">
        <v>83</v>
      </c>
      <c r="L7" s="22" t="s">
        <v>81</v>
      </c>
    </row>
    <row r="8" ht="22.5" customHeight="1">
      <c r="A8" s="8" t="s">
        <v>41</v>
      </c>
      <c r="B8" s="9">
        <v>0.05</v>
      </c>
      <c r="C8" s="13">
        <f t="shared" si="1"/>
        <v>0.25</v>
      </c>
      <c r="D8" s="13">
        <f t="shared" si="2"/>
        <v>0.5</v>
      </c>
      <c r="E8" s="15">
        <f t="array" ref="E8">IFERROR(_xlfn.XLOOKUP(A8,tblPrices[Ingredient],tblPrices[Rate ₹/kg],0),0)</f>
        <v>70</v>
      </c>
      <c r="F8" s="15">
        <f t="shared" si="3"/>
        <v>17.5</v>
      </c>
      <c r="G8" s="15">
        <f t="shared" si="4"/>
        <v>35</v>
      </c>
      <c r="I8" s="22" t="s">
        <v>86</v>
      </c>
      <c r="J8" s="25">
        <f>0</f>
        <v>0</v>
      </c>
      <c r="K8" s="22" t="s">
        <v>83</v>
      </c>
      <c r="L8" s="22" t="s">
        <v>87</v>
      </c>
    </row>
    <row r="9" ht="22.5" customHeight="1">
      <c r="A9" s="8" t="s">
        <v>43</v>
      </c>
      <c r="B9" s="9">
        <v>0.04</v>
      </c>
      <c r="C9" s="13">
        <f t="shared" si="1"/>
        <v>0.2</v>
      </c>
      <c r="D9" s="13">
        <f t="shared" si="2"/>
        <v>0.4</v>
      </c>
      <c r="E9" s="15">
        <f t="array" ref="E9">IFERROR(_xlfn.XLOOKUP(A9,tblPrices[Ingredient],tblPrices[Rate ₹/kg],0),0)</f>
        <v>40</v>
      </c>
      <c r="F9" s="15">
        <f t="shared" si="3"/>
        <v>8</v>
      </c>
      <c r="G9" s="15">
        <f t="shared" si="4"/>
        <v>16</v>
      </c>
      <c r="I9" s="22" t="s">
        <v>88</v>
      </c>
      <c r="J9" s="25">
        <f t="array" ref="J9">IFERROR(SUMPRODUCT($B$3:$B$10,_xlfn.XLOOKUP($A$3:$A$10,tblNutrients[Ingredient],tblNutrients[Fat g],0)),0)</f>
        <v>4.404</v>
      </c>
      <c r="K9" s="22" t="s">
        <v>83</v>
      </c>
      <c r="L9" s="22" t="s">
        <v>81</v>
      </c>
    </row>
    <row r="10" ht="22.5" customHeight="1">
      <c r="A10" s="8" t="s">
        <v>45</v>
      </c>
      <c r="B10" s="9">
        <v>0.03</v>
      </c>
      <c r="C10" s="13">
        <f t="shared" si="1"/>
        <v>0.15</v>
      </c>
      <c r="D10" s="13">
        <f t="shared" si="2"/>
        <v>0.3</v>
      </c>
      <c r="E10" s="15">
        <f t="array" ref="E10">IFERROR(_xlfn.XLOOKUP(A10,tblPrices[Ingredient],tblPrices[Rate ₹/kg],0),0)</f>
        <v>150</v>
      </c>
      <c r="F10" s="15">
        <f t="shared" si="3"/>
        <v>22.5</v>
      </c>
      <c r="G10" s="15">
        <f t="shared" si="4"/>
        <v>45</v>
      </c>
      <c r="I10" s="22" t="s">
        <v>89</v>
      </c>
      <c r="J10" s="25">
        <f t="array" ref="J10">IFERROR(SUMPRODUCT($B$3:$B$10,_xlfn.XLOOKUP($A$3:$A$10,tblNutrients[Ingredient],tblNutrients[Sat Fat g],0)),0)</f>
        <v>0.643</v>
      </c>
      <c r="K10" s="22" t="s">
        <v>83</v>
      </c>
      <c r="L10" s="22" t="s">
        <v>81</v>
      </c>
    </row>
    <row r="11" ht="22.5" customHeight="1">
      <c r="A11" s="28" t="s">
        <v>90</v>
      </c>
      <c r="B11" s="29">
        <f t="shared" ref="B11:D11" si="5">SUM(B3:B10)</f>
        <v>1</v>
      </c>
      <c r="C11" s="30">
        <f t="shared" si="5"/>
        <v>5</v>
      </c>
      <c r="D11" s="30">
        <f t="shared" si="5"/>
        <v>10</v>
      </c>
      <c r="E11" s="31"/>
      <c r="F11" s="31">
        <f t="shared" ref="F11:G11" si="6">SUM(F3:F10)</f>
        <v>308</v>
      </c>
      <c r="G11" s="31">
        <f t="shared" si="6"/>
        <v>616</v>
      </c>
      <c r="I11" s="22" t="s">
        <v>91</v>
      </c>
      <c r="J11" s="25">
        <f>0</f>
        <v>0</v>
      </c>
      <c r="K11" s="22" t="s">
        <v>83</v>
      </c>
      <c r="L11" s="22" t="s">
        <v>87</v>
      </c>
    </row>
    <row r="12" ht="22.5" customHeight="1">
      <c r="A12" s="28" t="s">
        <v>92</v>
      </c>
      <c r="B12" s="28"/>
      <c r="C12" s="28"/>
      <c r="D12" s="28"/>
      <c r="E12" s="31">
        <f t="array" ref="E12">_xlfn.XLOOKUP("Milling &amp; Roasting Cost",tblPrices[Ingredient],tblPrices[Rate ₹/kg],0)</f>
        <v>4</v>
      </c>
      <c r="F12" s="31">
        <f t="shared" ref="F12:F13" si="7">5*E12</f>
        <v>20</v>
      </c>
      <c r="G12" s="31">
        <f t="shared" ref="G12:G13" si="8">10*E12</f>
        <v>40</v>
      </c>
      <c r="I12" s="22" t="s">
        <v>93</v>
      </c>
      <c r="J12" s="25">
        <f t="array" ref="J12">IFERROR(SUMPRODUCT($B$3:$B$10,_xlfn.XLOOKUP($A$3:$A$10,tblNutrients[Ingredient],tblNutrients[Fibre g],0)),0)</f>
        <v>13.262</v>
      </c>
      <c r="K12" s="22" t="s">
        <v>83</v>
      </c>
      <c r="L12" s="22" t="s">
        <v>81</v>
      </c>
    </row>
    <row r="13" ht="22.5" customHeight="1">
      <c r="A13" s="28" t="s">
        <v>94</v>
      </c>
      <c r="B13" s="28"/>
      <c r="C13" s="28"/>
      <c r="D13" s="28"/>
      <c r="E13" s="31">
        <f t="array" ref="E13">_xlfn.XLOOKUP("3-Layer Laminated Pouch",tblPrices[Ingredient],tblPrices[Rate ₹/kg],0)</f>
        <v>5</v>
      </c>
      <c r="F13" s="31">
        <f t="shared" si="7"/>
        <v>25</v>
      </c>
      <c r="G13" s="31">
        <f t="shared" si="8"/>
        <v>50</v>
      </c>
      <c r="I13" s="22" t="s">
        <v>95</v>
      </c>
      <c r="J13" s="25">
        <f t="array" ref="J13">IFERROR(SUMPRODUCT($B$3:$B$10,_xlfn.XLOOKUP($A$3:$A$10,tblNutrients[Ingredient],tblNutrients[Sodium mg],0)),0)</f>
        <v>7.63</v>
      </c>
      <c r="K13" s="22" t="s">
        <v>96</v>
      </c>
      <c r="L13" s="22" t="s">
        <v>81</v>
      </c>
    </row>
    <row r="14" ht="22.5" customHeight="1">
      <c r="A14" s="32" t="s">
        <v>97</v>
      </c>
      <c r="B14" s="32"/>
      <c r="C14" s="32"/>
      <c r="D14" s="32"/>
      <c r="E14" s="33">
        <f>SUM(Ingredient_2[Rate ₹/kg])</f>
        <v>694</v>
      </c>
      <c r="F14" s="33">
        <f t="shared" ref="F14:G14" si="9">SUM(F11:F13)</f>
        <v>353</v>
      </c>
      <c r="G14" s="33">
        <f t="shared" si="9"/>
        <v>706</v>
      </c>
      <c r="I14" s="22" t="s">
        <v>98</v>
      </c>
      <c r="J14" s="25">
        <f>0</f>
        <v>0</v>
      </c>
      <c r="K14" s="22" t="s">
        <v>96</v>
      </c>
      <c r="L14" s="22" t="s">
        <v>87</v>
      </c>
    </row>
    <row r="16" ht="31.5" customHeight="1">
      <c r="A16" s="23"/>
      <c r="B16" s="23"/>
      <c r="C16" s="23"/>
      <c r="D16" s="23"/>
      <c r="E16" s="23"/>
    </row>
    <row r="17" ht="31.5" customHeight="1">
      <c r="A17" s="17" t="s">
        <v>56</v>
      </c>
      <c r="B17" s="17" t="s">
        <v>99</v>
      </c>
      <c r="C17" s="17" t="s">
        <v>100</v>
      </c>
      <c r="D17" s="17" t="s">
        <v>101</v>
      </c>
      <c r="E17" s="17" t="s">
        <v>102</v>
      </c>
    </row>
    <row r="18" ht="15.75" customHeight="1">
      <c r="A18" s="34" t="s">
        <v>97</v>
      </c>
      <c r="B18" s="15">
        <f>G14/10</f>
        <v>70.6</v>
      </c>
      <c r="C18" s="15">
        <f t="shared" ref="C18:D18" si="10">F14</f>
        <v>353</v>
      </c>
      <c r="D18" s="15">
        <f t="shared" si="10"/>
        <v>706</v>
      </c>
      <c r="E18" s="22" t="s">
        <v>103</v>
      </c>
    </row>
    <row r="19" ht="15.75" customHeight="1">
      <c r="A19" s="34" t="s">
        <v>104</v>
      </c>
      <c r="B19" s="15">
        <f t="shared" ref="B19:B20" si="11">D19/10</f>
        <v>125</v>
      </c>
      <c r="C19" s="15">
        <f t="shared" ref="C19:C20" si="12">D19/2</f>
        <v>625</v>
      </c>
      <c r="D19" s="35">
        <v>1250.0</v>
      </c>
      <c r="E19" s="22" t="s">
        <v>105</v>
      </c>
    </row>
    <row r="20" ht="15.75" customHeight="1">
      <c r="A20" s="34" t="s">
        <v>106</v>
      </c>
      <c r="B20" s="15">
        <f t="shared" si="11"/>
        <v>100</v>
      </c>
      <c r="C20" s="15">
        <f t="shared" si="12"/>
        <v>500</v>
      </c>
      <c r="D20" s="35">
        <v>1000.0</v>
      </c>
      <c r="E20" s="22" t="s">
        <v>107</v>
      </c>
    </row>
    <row r="21" ht="15.75" customHeight="1">
      <c r="A21" s="34" t="s">
        <v>108</v>
      </c>
      <c r="B21" s="15">
        <f t="shared" ref="B21:D21" si="13">B19-B18</f>
        <v>54.4</v>
      </c>
      <c r="C21" s="15">
        <f t="shared" si="13"/>
        <v>272</v>
      </c>
      <c r="D21" s="15">
        <f t="shared" si="13"/>
        <v>544</v>
      </c>
      <c r="E21" s="22" t="s">
        <v>109</v>
      </c>
    </row>
    <row r="22" ht="15.75" customHeight="1">
      <c r="A22" s="34" t="s">
        <v>110</v>
      </c>
      <c r="B22" s="15">
        <f t="shared" ref="B22:D22" si="14">B20-B18</f>
        <v>29.4</v>
      </c>
      <c r="C22" s="15">
        <f t="shared" si="14"/>
        <v>147</v>
      </c>
      <c r="D22" s="15">
        <f t="shared" si="14"/>
        <v>294</v>
      </c>
      <c r="E22" s="22" t="s">
        <v>111</v>
      </c>
    </row>
    <row r="23" ht="15.75" customHeight="1">
      <c r="A23" s="34" t="s">
        <v>112</v>
      </c>
      <c r="B23" s="38">
        <f>SUM(Pricing_Profit_Analysis_2[1 kg Pack])</f>
        <v>379.4</v>
      </c>
      <c r="C23" s="38">
        <f>SUM(Pricing_Profit_Analysis_2[5 kg Pack])</f>
        <v>1897</v>
      </c>
      <c r="D23" s="39">
        <f>IFERROR(D21/D19,0)</f>
        <v>0.4352</v>
      </c>
      <c r="E23" s="22" t="s">
        <v>113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I1:L1"/>
  </mergeCells>
  <dataValidations>
    <dataValidation type="decimal" allowBlank="1" sqref="B2:B10">
      <formula1>0.0</formula1>
      <formula2>1.0</formula2>
    </dataValidation>
    <dataValidation type="decimal" operator="greaterThan" allowBlank="1" sqref="D19:D20">
      <formula1>0.0</formula1>
    </dataValidation>
    <dataValidation type="custom" allowBlank="1" showDropDown="1" sqref="E2:G13 J4:J14 B18:C22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 fitToPage="1"/>
  </sheetPr>
  <sheetViews>
    <sheetView showGridLines="0" workbookViewId="0"/>
  </sheetViews>
  <sheetFormatPr customHeight="1" defaultColWidth="14.43" defaultRowHeight="15.0"/>
  <cols>
    <col customWidth="1" min="1" max="1" width="31.0"/>
    <col customWidth="1" min="2" max="2" width="12.0"/>
    <col customWidth="1" min="3" max="4" width="13.0"/>
    <col customWidth="1" min="5" max="5" width="14.29"/>
    <col customWidth="1" min="6" max="6" width="18.14"/>
    <col customWidth="1" min="7" max="7" width="19.43"/>
    <col customWidth="1" min="8" max="8" width="3.0"/>
    <col customWidth="1" min="9" max="9" width="21.0"/>
    <col customWidth="1" min="10" max="10" width="25.29"/>
    <col customWidth="1" min="11" max="11" width="10.14"/>
    <col customWidth="1" min="12" max="12" width="27.43"/>
    <col customWidth="1" min="13" max="26" width="8.71"/>
  </cols>
  <sheetData>
    <row r="1" ht="31.5" customHeight="1">
      <c r="A1" s="3" t="s">
        <v>1</v>
      </c>
      <c r="B1" s="3" t="s">
        <v>6</v>
      </c>
      <c r="C1" s="3" t="s">
        <v>7</v>
      </c>
      <c r="D1" s="3" t="s">
        <v>8</v>
      </c>
      <c r="E1" s="3" t="s">
        <v>2</v>
      </c>
      <c r="F1" s="3" t="s">
        <v>12</v>
      </c>
      <c r="G1" s="3" t="s">
        <v>14</v>
      </c>
      <c r="I1" s="5"/>
      <c r="J1" s="6"/>
      <c r="K1" s="6"/>
      <c r="L1" s="7"/>
    </row>
    <row r="2" ht="22.5" customHeight="1">
      <c r="A2" s="14"/>
      <c r="B2" s="16"/>
      <c r="C2" s="18">
        <f t="shared" ref="C2:C8" si="1">B2*5</f>
        <v>0</v>
      </c>
      <c r="D2" s="18">
        <f t="shared" ref="D2:D8" si="2">B2*10</f>
        <v>0</v>
      </c>
      <c r="E2" s="21">
        <f t="array" ref="E2">IFERROR(_xlfn.XLOOKUP(A2,tblPrices[Ingredient],tblPrices[Rate ₹/kg],0),0)</f>
        <v>0</v>
      </c>
      <c r="F2" s="21">
        <f t="shared" ref="F2:F8" si="3">C2*E2</f>
        <v>0</v>
      </c>
      <c r="G2" s="21">
        <f t="shared" ref="G2:G8" si="4">D2*E2</f>
        <v>0</v>
      </c>
      <c r="I2" s="23"/>
      <c r="J2" s="23"/>
      <c r="K2" s="23"/>
      <c r="L2" s="23"/>
    </row>
    <row r="3" ht="22.5" customHeight="1">
      <c r="A3" s="8" t="s">
        <v>51</v>
      </c>
      <c r="B3" s="9">
        <v>0.4</v>
      </c>
      <c r="C3" s="13">
        <f t="shared" si="1"/>
        <v>2</v>
      </c>
      <c r="D3" s="13">
        <f t="shared" si="2"/>
        <v>4</v>
      </c>
      <c r="E3" s="15">
        <f t="array" ref="E3">IFERROR(_xlfn.XLOOKUP(A3,tblPrices[Ingredient],tblPrices[Rate ₹/kg],0),0)</f>
        <v>120</v>
      </c>
      <c r="F3" s="15">
        <f t="shared" si="3"/>
        <v>240</v>
      </c>
      <c r="G3" s="15">
        <f t="shared" si="4"/>
        <v>480</v>
      </c>
      <c r="I3" s="17" t="s">
        <v>56</v>
      </c>
      <c r="J3" s="17" t="s">
        <v>59</v>
      </c>
      <c r="K3" s="17" t="s">
        <v>60</v>
      </c>
      <c r="L3" s="17" t="s">
        <v>62</v>
      </c>
    </row>
    <row r="4" ht="22.5" customHeight="1">
      <c r="A4" s="8" t="s">
        <v>37</v>
      </c>
      <c r="B4" s="9">
        <v>0.25</v>
      </c>
      <c r="C4" s="13">
        <f t="shared" si="1"/>
        <v>1.25</v>
      </c>
      <c r="D4" s="13">
        <f t="shared" si="2"/>
        <v>2.5</v>
      </c>
      <c r="E4" s="15">
        <f t="array" ref="E4">IFERROR(_xlfn.XLOOKUP(A4,tblPrices[Ingredient],tblPrices[Rate ₹/kg],0),0)</f>
        <v>100</v>
      </c>
      <c r="F4" s="15">
        <f t="shared" si="3"/>
        <v>125</v>
      </c>
      <c r="G4" s="15">
        <f t="shared" si="4"/>
        <v>250</v>
      </c>
      <c r="I4" s="22" t="s">
        <v>77</v>
      </c>
      <c r="J4" s="25">
        <f t="array" ref="J4">IFERROR(SUMPRODUCT($B$3:$B$8,_xlfn.XLOOKUP($A$3:$A$8,tblNutrients[Ingredient],tblNutrients[Energy kcal],0)),0)</f>
        <v>360.3</v>
      </c>
      <c r="K4" s="22" t="s">
        <v>80</v>
      </c>
      <c r="L4" s="22" t="s">
        <v>81</v>
      </c>
    </row>
    <row r="5" ht="22.5" customHeight="1">
      <c r="A5" s="8" t="s">
        <v>54</v>
      </c>
      <c r="B5" s="9">
        <v>0.15</v>
      </c>
      <c r="C5" s="13">
        <f t="shared" si="1"/>
        <v>0.75</v>
      </c>
      <c r="D5" s="13">
        <f t="shared" si="2"/>
        <v>1.5</v>
      </c>
      <c r="E5" s="15">
        <f t="array" ref="E5">IFERROR(_xlfn.XLOOKUP(A5,tblPrices[Ingredient],tblPrices[Rate ₹/kg],0),0)</f>
        <v>110</v>
      </c>
      <c r="F5" s="15">
        <f t="shared" si="3"/>
        <v>82.5</v>
      </c>
      <c r="G5" s="15">
        <f t="shared" si="4"/>
        <v>165</v>
      </c>
      <c r="I5" s="22" t="s">
        <v>82</v>
      </c>
      <c r="J5" s="25">
        <f t="array" ref="J5">IFERROR(SUMPRODUCT($B$3:$B$8,_xlfn.XLOOKUP($A$3:$A$8,tblNutrients[Ingredient],tblNutrients[Protein g],0)),0)</f>
        <v>13.96</v>
      </c>
      <c r="K5" s="22" t="s">
        <v>83</v>
      </c>
      <c r="L5" s="22" t="s">
        <v>81</v>
      </c>
    </row>
    <row r="6" ht="22.5" customHeight="1">
      <c r="A6" s="8" t="s">
        <v>41</v>
      </c>
      <c r="B6" s="9">
        <v>0.1</v>
      </c>
      <c r="C6" s="13">
        <f t="shared" si="1"/>
        <v>0.5</v>
      </c>
      <c r="D6" s="13">
        <f t="shared" si="2"/>
        <v>1</v>
      </c>
      <c r="E6" s="15">
        <f t="array" ref="E6">IFERROR(_xlfn.XLOOKUP(A6,tblPrices[Ingredient],tblPrices[Rate ₹/kg],0),0)</f>
        <v>70</v>
      </c>
      <c r="F6" s="15">
        <f t="shared" si="3"/>
        <v>35</v>
      </c>
      <c r="G6" s="15">
        <f t="shared" si="4"/>
        <v>70</v>
      </c>
      <c r="I6" s="22" t="s">
        <v>84</v>
      </c>
      <c r="J6" s="25">
        <f t="array" ref="J6">IFERROR(SUMPRODUCT($B$3:$B$8,_xlfn.XLOOKUP($A$3:$A$8,tblNutrients[Ingredient],tblNutrients[Carbohydrates g],0)),0)</f>
        <v>66.745</v>
      </c>
      <c r="K6" s="22" t="s">
        <v>83</v>
      </c>
      <c r="L6" s="22" t="s">
        <v>81</v>
      </c>
    </row>
    <row r="7" ht="22.5" customHeight="1">
      <c r="A7" s="8" t="s">
        <v>58</v>
      </c>
      <c r="B7" s="9">
        <v>0.05</v>
      </c>
      <c r="C7" s="13">
        <f t="shared" si="1"/>
        <v>0.25</v>
      </c>
      <c r="D7" s="13">
        <f t="shared" si="2"/>
        <v>0.5</v>
      </c>
      <c r="E7" s="15">
        <f t="array" ref="E7">IFERROR(_xlfn.XLOOKUP(A7,tblPrices[Ingredient],tblPrices[Rate ₹/kg],0),0)</f>
        <v>250</v>
      </c>
      <c r="F7" s="15">
        <f t="shared" si="3"/>
        <v>62.5</v>
      </c>
      <c r="G7" s="15">
        <f t="shared" si="4"/>
        <v>125</v>
      </c>
      <c r="I7" s="22" t="s">
        <v>85</v>
      </c>
      <c r="J7" s="25">
        <f t="array" ref="J7">IFERROR(SUMPRODUCT($B$3:$B$8,_xlfn.XLOOKUP($A$3:$A$8,tblNutrients[Ingredient],tblNutrients[Sugars g],0)),0)</f>
        <v>1.375</v>
      </c>
      <c r="K7" s="22" t="s">
        <v>83</v>
      </c>
      <c r="L7" s="22" t="s">
        <v>81</v>
      </c>
    </row>
    <row r="8" ht="22.5" customHeight="1">
      <c r="A8" s="8" t="s">
        <v>45</v>
      </c>
      <c r="B8" s="9">
        <v>0.05</v>
      </c>
      <c r="C8" s="13">
        <f t="shared" si="1"/>
        <v>0.25</v>
      </c>
      <c r="D8" s="13">
        <f t="shared" si="2"/>
        <v>0.5</v>
      </c>
      <c r="E8" s="15">
        <f t="array" ref="E8">IFERROR(_xlfn.XLOOKUP(A8,tblPrices[Ingredient],tblPrices[Rate ₹/kg],0),0)</f>
        <v>150</v>
      </c>
      <c r="F8" s="15">
        <f t="shared" si="3"/>
        <v>37.5</v>
      </c>
      <c r="G8" s="15">
        <f t="shared" si="4"/>
        <v>75</v>
      </c>
      <c r="I8" s="22" t="s">
        <v>86</v>
      </c>
      <c r="J8" s="25">
        <f>0</f>
        <v>0</v>
      </c>
      <c r="K8" s="22" t="s">
        <v>83</v>
      </c>
      <c r="L8" s="22" t="s">
        <v>87</v>
      </c>
    </row>
    <row r="9" ht="22.5" customHeight="1">
      <c r="A9" s="28" t="s">
        <v>90</v>
      </c>
      <c r="B9" s="29">
        <f t="shared" ref="B9:D9" si="5">SUM(B3:B8)</f>
        <v>1</v>
      </c>
      <c r="C9" s="30">
        <f t="shared" si="5"/>
        <v>5</v>
      </c>
      <c r="D9" s="30">
        <f t="shared" si="5"/>
        <v>10</v>
      </c>
      <c r="E9" s="31"/>
      <c r="F9" s="31">
        <f t="shared" ref="F9:G9" si="6">SUM(F3:F8)</f>
        <v>582.5</v>
      </c>
      <c r="G9" s="31">
        <f t="shared" si="6"/>
        <v>1165</v>
      </c>
      <c r="I9" s="22" t="s">
        <v>88</v>
      </c>
      <c r="J9" s="25">
        <f t="array" ref="J9">IFERROR(SUMPRODUCT($B$3:$B$8,_xlfn.XLOOKUP($A$3:$A$8,tblNutrients[Ingredient],tblNutrients[Fat g],0)),0)</f>
        <v>6.13</v>
      </c>
      <c r="K9" s="22" t="s">
        <v>83</v>
      </c>
      <c r="L9" s="22" t="s">
        <v>81</v>
      </c>
    </row>
    <row r="10" ht="22.5" customHeight="1">
      <c r="A10" s="28" t="s">
        <v>92</v>
      </c>
      <c r="B10" s="28"/>
      <c r="C10" s="28"/>
      <c r="D10" s="28"/>
      <c r="E10" s="31">
        <f t="array" ref="E10">_xlfn.XLOOKUP("Milling &amp; Roasting Cost",tblPrices[Ingredient],tblPrices[Rate ₹/kg],0)</f>
        <v>4</v>
      </c>
      <c r="F10" s="31">
        <f t="shared" ref="F10:F11" si="7">5*E10</f>
        <v>20</v>
      </c>
      <c r="G10" s="31">
        <f t="shared" ref="G10:G11" si="8">10*E10</f>
        <v>40</v>
      </c>
      <c r="I10" s="22" t="s">
        <v>89</v>
      </c>
      <c r="J10" s="25">
        <f t="array" ref="J10">IFERROR(SUMPRODUCT($B$3:$B$8,_xlfn.XLOOKUP($A$3:$A$8,tblNutrients[Ingredient],tblNutrients[Sat Fat g],0)),0)</f>
        <v>0.88</v>
      </c>
      <c r="K10" s="22" t="s">
        <v>83</v>
      </c>
      <c r="L10" s="22" t="s">
        <v>81</v>
      </c>
    </row>
    <row r="11" ht="22.5" customHeight="1">
      <c r="A11" s="28" t="s">
        <v>94</v>
      </c>
      <c r="B11" s="28"/>
      <c r="C11" s="28"/>
      <c r="D11" s="28"/>
      <c r="E11" s="31">
        <f t="array" ref="E11">_xlfn.XLOOKUP("3-Layer Laminated Pouch",tblPrices[Ingredient],tblPrices[Rate ₹/kg],0)</f>
        <v>5</v>
      </c>
      <c r="F11" s="31">
        <f t="shared" si="7"/>
        <v>25</v>
      </c>
      <c r="G11" s="31">
        <f t="shared" si="8"/>
        <v>50</v>
      </c>
      <c r="I11" s="22" t="s">
        <v>91</v>
      </c>
      <c r="J11" s="25">
        <f>0</f>
        <v>0</v>
      </c>
      <c r="K11" s="22" t="s">
        <v>83</v>
      </c>
      <c r="L11" s="22" t="s">
        <v>87</v>
      </c>
    </row>
    <row r="12" ht="22.5" customHeight="1">
      <c r="A12" s="32" t="s">
        <v>97</v>
      </c>
      <c r="B12" s="32"/>
      <c r="C12" s="32"/>
      <c r="D12" s="32"/>
      <c r="E12" s="33">
        <f>SUM(Ingredient_3[Rate ₹/kg])</f>
        <v>809</v>
      </c>
      <c r="F12" s="33">
        <f t="shared" ref="F12:G12" si="9">SUM(F9:F11)</f>
        <v>627.5</v>
      </c>
      <c r="G12" s="33">
        <f t="shared" si="9"/>
        <v>1255</v>
      </c>
      <c r="I12" s="22" t="s">
        <v>93</v>
      </c>
      <c r="J12" s="25">
        <f t="array" ref="J12">IFERROR(SUMPRODUCT($B$3:$B$8,_xlfn.XLOOKUP($A$3:$A$8,tblNutrients[Ingredient],tblNutrients[Fibre g],0)),0)</f>
        <v>13.165</v>
      </c>
      <c r="K12" s="22" t="s">
        <v>83</v>
      </c>
      <c r="L12" s="22" t="s">
        <v>81</v>
      </c>
    </row>
    <row r="13" ht="22.5" customHeight="1">
      <c r="I13" s="22" t="s">
        <v>95</v>
      </c>
      <c r="J13" s="25">
        <f t="array" ref="J13">IFERROR(SUMPRODUCT($B$3:$B$8,_xlfn.XLOOKUP($A$3:$A$8,tblNutrients[Ingredient],tblNutrients[Sodium mg],0)),0)</f>
        <v>7.55</v>
      </c>
      <c r="K13" s="22" t="s">
        <v>96</v>
      </c>
      <c r="L13" s="22" t="s">
        <v>81</v>
      </c>
    </row>
    <row r="14" ht="22.5" customHeight="1">
      <c r="A14" s="36"/>
      <c r="B14" s="37"/>
      <c r="I14" s="22" t="s">
        <v>98</v>
      </c>
      <c r="J14" s="25">
        <f>0</f>
        <v>0</v>
      </c>
      <c r="K14" s="22" t="s">
        <v>96</v>
      </c>
      <c r="L14" s="22" t="s">
        <v>87</v>
      </c>
    </row>
    <row r="17" ht="31.5" customHeight="1">
      <c r="A17" s="23"/>
      <c r="B17" s="23"/>
      <c r="C17" s="23"/>
      <c r="D17" s="23"/>
      <c r="E17" s="23"/>
    </row>
    <row r="18" ht="31.5" customHeight="1">
      <c r="A18" s="17" t="s">
        <v>56</v>
      </c>
      <c r="B18" s="17" t="s">
        <v>99</v>
      </c>
      <c r="C18" s="17" t="s">
        <v>100</v>
      </c>
      <c r="D18" s="17" t="s">
        <v>101</v>
      </c>
      <c r="E18" s="17" t="s">
        <v>102</v>
      </c>
    </row>
    <row r="19" ht="15.75" customHeight="1">
      <c r="A19" s="34" t="s">
        <v>97</v>
      </c>
      <c r="B19" s="15">
        <f>G12/10</f>
        <v>125.5</v>
      </c>
      <c r="C19" s="15">
        <f t="shared" ref="C19:D19" si="10">F12</f>
        <v>627.5</v>
      </c>
      <c r="D19" s="15">
        <f t="shared" si="10"/>
        <v>1255</v>
      </c>
      <c r="E19" s="22" t="s">
        <v>103</v>
      </c>
    </row>
    <row r="20" ht="15.75" customHeight="1">
      <c r="A20" s="34" t="s">
        <v>104</v>
      </c>
      <c r="B20" s="15">
        <f t="shared" ref="B20:B21" si="11">D20/10</f>
        <v>165</v>
      </c>
      <c r="C20" s="15">
        <f t="shared" ref="C20:C21" si="12">D20/2</f>
        <v>825</v>
      </c>
      <c r="D20" s="35">
        <v>1650.0</v>
      </c>
      <c r="E20" s="22" t="s">
        <v>105</v>
      </c>
    </row>
    <row r="21" ht="15.75" customHeight="1">
      <c r="A21" s="34" t="s">
        <v>106</v>
      </c>
      <c r="B21" s="15">
        <f t="shared" si="11"/>
        <v>135</v>
      </c>
      <c r="C21" s="15">
        <f t="shared" si="12"/>
        <v>675</v>
      </c>
      <c r="D21" s="35">
        <v>1350.0</v>
      </c>
      <c r="E21" s="22" t="s">
        <v>107</v>
      </c>
    </row>
    <row r="22" ht="15.75" customHeight="1">
      <c r="A22" s="34" t="s">
        <v>108</v>
      </c>
      <c r="B22" s="15">
        <f t="shared" ref="B22:D22" si="13">B20-B19</f>
        <v>39.5</v>
      </c>
      <c r="C22" s="15">
        <f t="shared" si="13"/>
        <v>197.5</v>
      </c>
      <c r="D22" s="15">
        <f t="shared" si="13"/>
        <v>395</v>
      </c>
      <c r="E22" s="22" t="s">
        <v>109</v>
      </c>
    </row>
    <row r="23" ht="15.75" customHeight="1">
      <c r="A23" s="34" t="s">
        <v>110</v>
      </c>
      <c r="B23" s="15">
        <f t="shared" ref="B23:D23" si="14">B21-B19</f>
        <v>9.5</v>
      </c>
      <c r="C23" s="15">
        <f t="shared" si="14"/>
        <v>47.5</v>
      </c>
      <c r="D23" s="15">
        <f t="shared" si="14"/>
        <v>95</v>
      </c>
      <c r="E23" s="22" t="s">
        <v>111</v>
      </c>
    </row>
    <row r="24" ht="15.75" customHeight="1">
      <c r="A24" s="34" t="s">
        <v>112</v>
      </c>
      <c r="B24" s="38">
        <f>SUM(Pricing_Profit_Analysis_3[1 kg Pack])</f>
        <v>474.5</v>
      </c>
      <c r="C24" s="38">
        <f>SUM(Pricing_Profit_Analysis_3[5 kg Pack])</f>
        <v>2372.5</v>
      </c>
      <c r="D24" s="39">
        <f>IFERROR(D22/D20,0)</f>
        <v>0.2393939394</v>
      </c>
      <c r="E24" s="22" t="s">
        <v>113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I1:L1"/>
    <mergeCell ref="B14:D14"/>
  </mergeCells>
  <conditionalFormatting sqref="B14">
    <cfRule type="expression" dxfId="12" priority="1">
      <formula>ABS(B9-1)&gt;=0.0001</formula>
    </cfRule>
  </conditionalFormatting>
  <dataValidations>
    <dataValidation type="decimal" allowBlank="1" sqref="B2:B8">
      <formula1>0.0</formula1>
      <formula2>1.0</formula2>
    </dataValidation>
    <dataValidation type="decimal" operator="greaterThan" allowBlank="1" sqref="D20:D21">
      <formula1>0.0</formula1>
    </dataValidation>
    <dataValidation type="custom" allowBlank="1" showDropDown="1" sqref="E2:G11 J4:J14 B19:C23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 fitToPage="1"/>
  </sheetPr>
  <sheetViews>
    <sheetView showGridLines="0" workbookViewId="0"/>
  </sheetViews>
  <sheetFormatPr customHeight="1" defaultColWidth="14.43" defaultRowHeight="15.0"/>
  <cols>
    <col customWidth="1" min="1" max="1" width="31.0"/>
    <col customWidth="1" min="2" max="2" width="12.0"/>
    <col customWidth="1" min="3" max="4" width="13.0"/>
    <col customWidth="1" min="5" max="5" width="14.29"/>
    <col customWidth="1" min="6" max="6" width="18.14"/>
    <col customWidth="1" min="7" max="7" width="19.43"/>
    <col customWidth="1" min="8" max="8" width="3.0"/>
    <col customWidth="1" min="9" max="9" width="21.0"/>
    <col customWidth="1" min="10" max="10" width="25.29"/>
    <col customWidth="1" min="11" max="11" width="10.14"/>
    <col customWidth="1" min="12" max="12" width="27.43"/>
    <col customWidth="1" min="13" max="26" width="8.71"/>
  </cols>
  <sheetData>
    <row r="1" ht="31.5" customHeight="1">
      <c r="A1" s="3" t="s">
        <v>1</v>
      </c>
      <c r="B1" s="3" t="s">
        <v>6</v>
      </c>
      <c r="C1" s="3" t="s">
        <v>7</v>
      </c>
      <c r="D1" s="3" t="s">
        <v>8</v>
      </c>
      <c r="E1" s="3" t="s">
        <v>2</v>
      </c>
      <c r="F1" s="3" t="s">
        <v>12</v>
      </c>
      <c r="G1" s="3" t="s">
        <v>14</v>
      </c>
      <c r="I1" s="5"/>
      <c r="J1" s="6"/>
      <c r="K1" s="6"/>
      <c r="L1" s="7"/>
    </row>
    <row r="2" ht="22.5" customHeight="1">
      <c r="A2" s="14"/>
      <c r="B2" s="16"/>
      <c r="C2" s="18">
        <f t="shared" ref="C2:C8" si="1">B2*5</f>
        <v>0</v>
      </c>
      <c r="D2" s="18">
        <f t="shared" ref="D2:D8" si="2">B2*10</f>
        <v>0</v>
      </c>
      <c r="E2" s="21">
        <f t="array" ref="E2">IFERROR(_xlfn.XLOOKUP(A2,tblPrices[Ingredient],tblPrices[Rate ₹/kg],0),0)</f>
        <v>0</v>
      </c>
      <c r="F2" s="21">
        <f t="shared" ref="F2:F8" si="3">C2*E2</f>
        <v>0</v>
      </c>
      <c r="G2" s="21">
        <f t="shared" ref="G2:G8" si="4">D2*E2</f>
        <v>0</v>
      </c>
      <c r="I2" s="23"/>
      <c r="J2" s="23"/>
      <c r="K2" s="23"/>
      <c r="L2" s="23"/>
    </row>
    <row r="3" ht="22.5" customHeight="1">
      <c r="A3" s="8" t="s">
        <v>5</v>
      </c>
      <c r="B3" s="9">
        <v>0.6</v>
      </c>
      <c r="C3" s="13">
        <f t="shared" si="1"/>
        <v>3</v>
      </c>
      <c r="D3" s="13">
        <f t="shared" si="2"/>
        <v>6</v>
      </c>
      <c r="E3" s="15">
        <f t="array" ref="E3">IFERROR(_xlfn.XLOOKUP(A3,tblPrices[Ingredient],tblPrices[Rate ₹/kg],0),0)</f>
        <v>35</v>
      </c>
      <c r="F3" s="15">
        <f t="shared" si="3"/>
        <v>105</v>
      </c>
      <c r="G3" s="15">
        <f t="shared" si="4"/>
        <v>210</v>
      </c>
      <c r="I3" s="17" t="s">
        <v>56</v>
      </c>
      <c r="J3" s="17" t="s">
        <v>59</v>
      </c>
      <c r="K3" s="17" t="s">
        <v>60</v>
      </c>
      <c r="L3" s="17" t="s">
        <v>62</v>
      </c>
    </row>
    <row r="4" ht="22.5" customHeight="1">
      <c r="A4" s="8" t="s">
        <v>34</v>
      </c>
      <c r="B4" s="9">
        <v>0.15</v>
      </c>
      <c r="C4" s="13">
        <f t="shared" si="1"/>
        <v>0.75</v>
      </c>
      <c r="D4" s="13">
        <f t="shared" si="2"/>
        <v>1.5</v>
      </c>
      <c r="E4" s="15">
        <f t="array" ref="E4">IFERROR(_xlfn.XLOOKUP(A4,tblPrices[Ingredient],tblPrices[Rate ₹/kg],0),0)</f>
        <v>120</v>
      </c>
      <c r="F4" s="15">
        <f t="shared" si="3"/>
        <v>90</v>
      </c>
      <c r="G4" s="15">
        <f t="shared" si="4"/>
        <v>180</v>
      </c>
      <c r="I4" s="22" t="s">
        <v>77</v>
      </c>
      <c r="J4" s="25">
        <f t="array" ref="J4">IFERROR(SUMPRODUCT($B$3:$B$8,_xlfn.XLOOKUP($A$3:$A$8,tblNutrients[Ingredient],tblNutrients[Energy kcal],0)),0)</f>
        <v>362.22</v>
      </c>
      <c r="K4" s="22" t="s">
        <v>80</v>
      </c>
      <c r="L4" s="22" t="s">
        <v>81</v>
      </c>
    </row>
    <row r="5" ht="22.5" customHeight="1">
      <c r="A5" s="8" t="s">
        <v>30</v>
      </c>
      <c r="B5" s="9">
        <v>0.12</v>
      </c>
      <c r="C5" s="13">
        <f t="shared" si="1"/>
        <v>0.6</v>
      </c>
      <c r="D5" s="13">
        <f t="shared" si="2"/>
        <v>1.2</v>
      </c>
      <c r="E5" s="15">
        <f t="array" ref="E5">IFERROR(_xlfn.XLOOKUP(A5,tblPrices[Ingredient],tblPrices[Rate ₹/kg],0),0)</f>
        <v>100</v>
      </c>
      <c r="F5" s="15">
        <f t="shared" si="3"/>
        <v>60</v>
      </c>
      <c r="G5" s="15">
        <f t="shared" si="4"/>
        <v>120</v>
      </c>
      <c r="I5" s="22" t="s">
        <v>82</v>
      </c>
      <c r="J5" s="25">
        <f t="array" ref="J5">IFERROR(SUMPRODUCT($B$3:$B$8,_xlfn.XLOOKUP($A$3:$A$8,tblNutrients[Ingredient],tblNutrients[Protein g],0)),0)</f>
        <v>16.66</v>
      </c>
      <c r="K5" s="22" t="s">
        <v>83</v>
      </c>
      <c r="L5" s="22" t="s">
        <v>81</v>
      </c>
    </row>
    <row r="6" ht="22.5" customHeight="1">
      <c r="A6" s="8" t="s">
        <v>18</v>
      </c>
      <c r="B6" s="9">
        <v>0.08</v>
      </c>
      <c r="C6" s="13">
        <f t="shared" si="1"/>
        <v>0.4</v>
      </c>
      <c r="D6" s="13">
        <f t="shared" si="2"/>
        <v>0.8</v>
      </c>
      <c r="E6" s="15">
        <f t="array" ref="E6">IFERROR(_xlfn.XLOOKUP(A6,tblPrices[Ingredient],tblPrices[Rate ₹/kg],0),0)</f>
        <v>70</v>
      </c>
      <c r="F6" s="15">
        <f t="shared" si="3"/>
        <v>28</v>
      </c>
      <c r="G6" s="15">
        <f t="shared" si="4"/>
        <v>56</v>
      </c>
      <c r="I6" s="22" t="s">
        <v>84</v>
      </c>
      <c r="J6" s="25">
        <f t="array" ref="J6">IFERROR(SUMPRODUCT($B$3:$B$8,_xlfn.XLOOKUP($A$3:$A$8,tblNutrients[Ingredient],tblNutrients[Carbohydrates g],0)),0)</f>
        <v>62.67</v>
      </c>
      <c r="K6" s="22" t="s">
        <v>83</v>
      </c>
      <c r="L6" s="22" t="s">
        <v>81</v>
      </c>
    </row>
    <row r="7" ht="22.5" customHeight="1">
      <c r="A7" s="8" t="s">
        <v>45</v>
      </c>
      <c r="B7" s="9">
        <v>0.03</v>
      </c>
      <c r="C7" s="13">
        <f t="shared" si="1"/>
        <v>0.15</v>
      </c>
      <c r="D7" s="13">
        <f t="shared" si="2"/>
        <v>0.3</v>
      </c>
      <c r="E7" s="15">
        <f t="array" ref="E7">IFERROR(_xlfn.XLOOKUP(A7,tblPrices[Ingredient],tblPrices[Rate ₹/kg],0),0)</f>
        <v>150</v>
      </c>
      <c r="F7" s="15">
        <f t="shared" si="3"/>
        <v>22.5</v>
      </c>
      <c r="G7" s="15">
        <f t="shared" si="4"/>
        <v>45</v>
      </c>
      <c r="I7" s="22" t="s">
        <v>85</v>
      </c>
      <c r="J7" s="25">
        <f t="array" ref="J7">IFERROR(SUMPRODUCT($B$3:$B$8,_xlfn.XLOOKUP($A$3:$A$8,tblNutrients[Ingredient],tblNutrients[Sugars g],0)),0)</f>
        <v>1.699</v>
      </c>
      <c r="K7" s="22" t="s">
        <v>83</v>
      </c>
      <c r="L7" s="22" t="s">
        <v>81</v>
      </c>
    </row>
    <row r="8" ht="22.5" customHeight="1">
      <c r="A8" s="8" t="s">
        <v>48</v>
      </c>
      <c r="B8" s="9">
        <v>0.02</v>
      </c>
      <c r="C8" s="13">
        <f t="shared" si="1"/>
        <v>0.1</v>
      </c>
      <c r="D8" s="13">
        <f t="shared" si="2"/>
        <v>0.2</v>
      </c>
      <c r="E8" s="15">
        <f t="array" ref="E8">IFERROR(_xlfn.XLOOKUP(A8,tblPrices[Ingredient],tblPrices[Rate ₹/kg],0),0)</f>
        <v>150</v>
      </c>
      <c r="F8" s="15">
        <f t="shared" si="3"/>
        <v>15</v>
      </c>
      <c r="G8" s="15">
        <f t="shared" si="4"/>
        <v>30</v>
      </c>
      <c r="I8" s="22" t="s">
        <v>86</v>
      </c>
      <c r="J8" s="25">
        <f>0</f>
        <v>0</v>
      </c>
      <c r="K8" s="22" t="s">
        <v>83</v>
      </c>
      <c r="L8" s="22" t="s">
        <v>87</v>
      </c>
    </row>
    <row r="9" ht="22.5" customHeight="1">
      <c r="A9" s="28" t="s">
        <v>90</v>
      </c>
      <c r="B9" s="29">
        <f t="shared" ref="B9:D9" si="5">SUM(B3:B8)</f>
        <v>1</v>
      </c>
      <c r="C9" s="30">
        <f t="shared" si="5"/>
        <v>5</v>
      </c>
      <c r="D9" s="30">
        <f t="shared" si="5"/>
        <v>10</v>
      </c>
      <c r="E9" s="31"/>
      <c r="F9" s="31">
        <f t="shared" ref="F9:G9" si="6">SUM(F3:F8)</f>
        <v>320.5</v>
      </c>
      <c r="G9" s="31">
        <f t="shared" si="6"/>
        <v>641</v>
      </c>
      <c r="I9" s="22" t="s">
        <v>88</v>
      </c>
      <c r="J9" s="25">
        <f t="array" ref="J9">IFERROR(SUMPRODUCT($B$3:$B$8,_xlfn.XLOOKUP($A$3:$A$8,tblNutrients[Ingredient],tblNutrients[Fat g],0)),0)</f>
        <v>5.978</v>
      </c>
      <c r="K9" s="22" t="s">
        <v>83</v>
      </c>
      <c r="L9" s="22" t="s">
        <v>81</v>
      </c>
    </row>
    <row r="10" ht="22.5" customHeight="1">
      <c r="A10" s="28" t="s">
        <v>92</v>
      </c>
      <c r="B10" s="28"/>
      <c r="C10" s="28"/>
      <c r="D10" s="28"/>
      <c r="E10" s="31">
        <f t="array" ref="E10">_xlfn.XLOOKUP("Milling &amp; Roasting Cost",tblPrices[Ingredient],tblPrices[Rate ₹/kg],0)</f>
        <v>4</v>
      </c>
      <c r="F10" s="31">
        <f t="shared" ref="F10:F11" si="7">5*E10</f>
        <v>20</v>
      </c>
      <c r="G10" s="31">
        <f t="shared" ref="G10:G11" si="8">10*E10</f>
        <v>40</v>
      </c>
      <c r="I10" s="22" t="s">
        <v>89</v>
      </c>
      <c r="J10" s="25">
        <f t="array" ref="J10">IFERROR(SUMPRODUCT($B$3:$B$8,_xlfn.XLOOKUP($A$3:$A$8,tblNutrients[Ingredient],tblNutrients[Sat Fat g],0)),0)</f>
        <v>0.825</v>
      </c>
      <c r="K10" s="22" t="s">
        <v>83</v>
      </c>
      <c r="L10" s="22" t="s">
        <v>81</v>
      </c>
    </row>
    <row r="11" ht="22.5" customHeight="1">
      <c r="A11" s="28" t="s">
        <v>94</v>
      </c>
      <c r="B11" s="28"/>
      <c r="C11" s="28"/>
      <c r="D11" s="28"/>
      <c r="E11" s="31">
        <f t="array" ref="E11">_xlfn.XLOOKUP("3-Layer Laminated Pouch",tblPrices[Ingredient],tblPrices[Rate ₹/kg],0)</f>
        <v>5</v>
      </c>
      <c r="F11" s="31">
        <f t="shared" si="7"/>
        <v>25</v>
      </c>
      <c r="G11" s="31">
        <f t="shared" si="8"/>
        <v>50</v>
      </c>
      <c r="I11" s="22" t="s">
        <v>91</v>
      </c>
      <c r="J11" s="25">
        <f>0</f>
        <v>0</v>
      </c>
      <c r="K11" s="22" t="s">
        <v>83</v>
      </c>
      <c r="L11" s="22" t="s">
        <v>87</v>
      </c>
    </row>
    <row r="12" ht="22.5" customHeight="1">
      <c r="A12" s="32" t="s">
        <v>97</v>
      </c>
      <c r="B12" s="32"/>
      <c r="C12" s="32"/>
      <c r="D12" s="32"/>
      <c r="E12" s="33">
        <f>SUM(Ingredient4[Rate ₹/kg])</f>
        <v>634</v>
      </c>
      <c r="F12" s="33">
        <f t="shared" ref="F12:G12" si="9">SUM(F9:F11)</f>
        <v>365.5</v>
      </c>
      <c r="G12" s="33">
        <f t="shared" si="9"/>
        <v>731</v>
      </c>
      <c r="I12" s="22" t="s">
        <v>93</v>
      </c>
      <c r="J12" s="25">
        <f t="array" ref="J12">IFERROR(SUMPRODUCT($B$3:$B$8,_xlfn.XLOOKUP($A$3:$A$8,tblNutrients[Ingredient],tblNutrients[Fibre g],0)),0)</f>
        <v>14.18</v>
      </c>
      <c r="K12" s="22" t="s">
        <v>83</v>
      </c>
      <c r="L12" s="22" t="s">
        <v>81</v>
      </c>
    </row>
    <row r="13" ht="22.5" customHeight="1">
      <c r="I13" s="22" t="s">
        <v>95</v>
      </c>
      <c r="J13" s="25">
        <f t="array" ref="J13">IFERROR(SUMPRODUCT($B$3:$B$8,_xlfn.XLOOKUP($A$3:$A$8,tblNutrients[Ingredient],tblNutrients[Sodium mg],0)),0)</f>
        <v>8.24</v>
      </c>
      <c r="K13" s="22" t="s">
        <v>96</v>
      </c>
      <c r="L13" s="22" t="s">
        <v>81</v>
      </c>
    </row>
    <row r="14" ht="22.5" customHeight="1">
      <c r="A14" s="36"/>
      <c r="B14" s="37"/>
      <c r="I14" s="22" t="s">
        <v>98</v>
      </c>
      <c r="J14" s="25">
        <f>0</f>
        <v>0</v>
      </c>
      <c r="K14" s="22" t="s">
        <v>96</v>
      </c>
      <c r="L14" s="22" t="s">
        <v>87</v>
      </c>
    </row>
    <row r="17" ht="31.5" customHeight="1">
      <c r="A17" s="23"/>
      <c r="B17" s="23"/>
      <c r="C17" s="23"/>
      <c r="D17" s="23"/>
      <c r="E17" s="23"/>
    </row>
    <row r="18" ht="31.5" customHeight="1">
      <c r="A18" s="17" t="s">
        <v>56</v>
      </c>
      <c r="B18" s="17" t="s">
        <v>99</v>
      </c>
      <c r="C18" s="17" t="s">
        <v>100</v>
      </c>
      <c r="D18" s="17" t="s">
        <v>101</v>
      </c>
      <c r="E18" s="17" t="s">
        <v>102</v>
      </c>
    </row>
    <row r="19" ht="15.75" customHeight="1">
      <c r="A19" s="34" t="s">
        <v>97</v>
      </c>
      <c r="B19" s="15">
        <f>G12/10</f>
        <v>73.1</v>
      </c>
      <c r="C19" s="15">
        <f t="shared" ref="C19:D19" si="10">F12</f>
        <v>365.5</v>
      </c>
      <c r="D19" s="15">
        <f t="shared" si="10"/>
        <v>731</v>
      </c>
      <c r="E19" s="22" t="s">
        <v>103</v>
      </c>
    </row>
    <row r="20" ht="15.75" customHeight="1">
      <c r="A20" s="34" t="s">
        <v>104</v>
      </c>
      <c r="B20" s="15">
        <f t="shared" ref="B20:B21" si="11">D20/10</f>
        <v>135</v>
      </c>
      <c r="C20" s="15">
        <f t="shared" ref="C20:C21" si="12">D20/2</f>
        <v>675</v>
      </c>
      <c r="D20" s="35">
        <v>1350.0</v>
      </c>
      <c r="E20" s="22" t="s">
        <v>105</v>
      </c>
    </row>
    <row r="21" ht="15.75" customHeight="1">
      <c r="A21" s="34" t="s">
        <v>106</v>
      </c>
      <c r="B21" s="15">
        <f t="shared" si="11"/>
        <v>115</v>
      </c>
      <c r="C21" s="15">
        <f t="shared" si="12"/>
        <v>575</v>
      </c>
      <c r="D21" s="35">
        <v>1150.0</v>
      </c>
      <c r="E21" s="22" t="s">
        <v>107</v>
      </c>
    </row>
    <row r="22" ht="15.75" customHeight="1">
      <c r="A22" s="34" t="s">
        <v>108</v>
      </c>
      <c r="B22" s="15">
        <f t="shared" ref="B22:D22" si="13">B20-B19</f>
        <v>61.9</v>
      </c>
      <c r="C22" s="15">
        <f t="shared" si="13"/>
        <v>309.5</v>
      </c>
      <c r="D22" s="15">
        <f t="shared" si="13"/>
        <v>619</v>
      </c>
      <c r="E22" s="22" t="s">
        <v>109</v>
      </c>
    </row>
    <row r="23" ht="15.75" customHeight="1">
      <c r="A23" s="34" t="s">
        <v>110</v>
      </c>
      <c r="B23" s="15">
        <f t="shared" ref="B23:D23" si="14">B21-B19</f>
        <v>41.9</v>
      </c>
      <c r="C23" s="15">
        <f t="shared" si="14"/>
        <v>209.5</v>
      </c>
      <c r="D23" s="15">
        <f t="shared" si="14"/>
        <v>419</v>
      </c>
      <c r="E23" s="22" t="s">
        <v>111</v>
      </c>
    </row>
    <row r="24" ht="15.75" customHeight="1">
      <c r="A24" s="34" t="s">
        <v>112</v>
      </c>
      <c r="B24" s="39">
        <f t="shared" ref="B24:D24" si="15">IFERROR(B22/B20,0)</f>
        <v>0.4585185185</v>
      </c>
      <c r="C24" s="39">
        <f t="shared" si="15"/>
        <v>0.4585185185</v>
      </c>
      <c r="D24" s="39">
        <f t="shared" si="15"/>
        <v>0.4585185185</v>
      </c>
      <c r="E24" s="22" t="s">
        <v>113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I1:L1"/>
    <mergeCell ref="B14:D14"/>
  </mergeCells>
  <conditionalFormatting sqref="B14">
    <cfRule type="expression" dxfId="12" priority="1">
      <formula>ABS(B9-1)&gt;=0.0001</formula>
    </cfRule>
  </conditionalFormatting>
  <dataValidations>
    <dataValidation type="decimal" allowBlank="1" sqref="B2:B8">
      <formula1>0.0</formula1>
      <formula2>1.0</formula2>
    </dataValidation>
    <dataValidation type="decimal" operator="greaterThan" allowBlank="1" sqref="D20:D21">
      <formula1>0.0</formula1>
    </dataValidation>
    <dataValidation type="custom" allowBlank="1" showDropDown="1" sqref="E2:G11 J4:J14">
      <formula1>AND(ISNUMBER(E2),(NOT(OR(NOT(ISERROR(DATEVALUE(E2))), AND(ISNUMBER(E2), LEFT(CELL("format", E2))="D")))))</formula1>
    </dataValidation>
  </dataValidations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 fitToPage="1"/>
  </sheetPr>
  <sheetViews>
    <sheetView showGridLines="0" workbookViewId="0"/>
  </sheetViews>
  <sheetFormatPr customHeight="1" defaultColWidth="14.43" defaultRowHeight="15.0"/>
  <cols>
    <col customWidth="1" min="1" max="1" width="31.0"/>
    <col customWidth="1" min="2" max="2" width="12.0"/>
    <col customWidth="1" min="3" max="4" width="13.0"/>
    <col customWidth="1" min="5" max="5" width="14.29"/>
    <col customWidth="1" min="6" max="6" width="18.14"/>
    <col customWidth="1" min="7" max="7" width="19.43"/>
    <col customWidth="1" min="8" max="8" width="3.0"/>
    <col customWidth="1" min="9" max="9" width="21.0"/>
    <col customWidth="1" min="10" max="10" width="25.29"/>
    <col customWidth="1" min="11" max="11" width="10.14"/>
    <col customWidth="1" min="12" max="12" width="27.43"/>
    <col customWidth="1" min="13" max="26" width="8.71"/>
  </cols>
  <sheetData>
    <row r="1" ht="31.5" customHeight="1">
      <c r="A1" s="3" t="s">
        <v>1</v>
      </c>
      <c r="B1" s="3" t="s">
        <v>6</v>
      </c>
      <c r="C1" s="3" t="s">
        <v>7</v>
      </c>
      <c r="D1" s="3" t="s">
        <v>8</v>
      </c>
      <c r="E1" s="3" t="s">
        <v>2</v>
      </c>
      <c r="F1" s="3" t="s">
        <v>12</v>
      </c>
      <c r="G1" s="3" t="s">
        <v>14</v>
      </c>
      <c r="I1" s="5"/>
      <c r="J1" s="6"/>
      <c r="K1" s="6"/>
      <c r="L1" s="7"/>
    </row>
    <row r="2" ht="22.5" customHeight="1">
      <c r="A2" s="40" t="s">
        <v>5</v>
      </c>
      <c r="B2" s="41">
        <v>0.5</v>
      </c>
      <c r="C2" s="18">
        <f t="shared" ref="C2:C11" si="1">B2*5</f>
        <v>2.5</v>
      </c>
      <c r="D2" s="18">
        <f t="shared" ref="D2:D11" si="2">B2*10</f>
        <v>5</v>
      </c>
      <c r="E2" s="21">
        <f t="array" ref="E2">IFERROR(_xlfn.XLOOKUP(A2,tblPrices[Ingredient],tblPrices[Rate ₹/kg],0),0)</f>
        <v>35</v>
      </c>
      <c r="F2" s="21">
        <f t="shared" ref="F2:F11" si="3">C2*E2</f>
        <v>87.5</v>
      </c>
      <c r="G2" s="21">
        <f t="shared" ref="G2:G11" si="4">D2*E2</f>
        <v>175</v>
      </c>
      <c r="I2" s="23"/>
      <c r="J2" s="23"/>
      <c r="K2" s="23"/>
      <c r="L2" s="23"/>
    </row>
    <row r="3" ht="22.5" customHeight="1">
      <c r="A3" s="42" t="s">
        <v>30</v>
      </c>
      <c r="B3" s="43">
        <v>0.15</v>
      </c>
      <c r="C3" s="13">
        <f t="shared" si="1"/>
        <v>0.75</v>
      </c>
      <c r="D3" s="13">
        <f t="shared" si="2"/>
        <v>1.5</v>
      </c>
      <c r="E3" s="15">
        <f t="array" ref="E3">IFERROR(_xlfn.XLOOKUP(A3,tblPrices[Ingredient],tblPrices[Rate ₹/kg],0),0)</f>
        <v>100</v>
      </c>
      <c r="F3" s="15">
        <f t="shared" si="3"/>
        <v>75</v>
      </c>
      <c r="G3" s="15">
        <f t="shared" si="4"/>
        <v>150</v>
      </c>
      <c r="I3" s="17" t="s">
        <v>56</v>
      </c>
      <c r="J3" s="17" t="s">
        <v>59</v>
      </c>
      <c r="K3" s="17" t="s">
        <v>60</v>
      </c>
      <c r="L3" s="17" t="s">
        <v>62</v>
      </c>
    </row>
    <row r="4" ht="22.5" customHeight="1">
      <c r="A4" s="42" t="s">
        <v>18</v>
      </c>
      <c r="B4" s="43">
        <v>0.1</v>
      </c>
      <c r="C4" s="13">
        <f t="shared" si="1"/>
        <v>0.5</v>
      </c>
      <c r="D4" s="13">
        <f t="shared" si="2"/>
        <v>1</v>
      </c>
      <c r="E4" s="15">
        <f t="array" ref="E4">IFERROR(_xlfn.XLOOKUP(A4,tblPrices[Ingredient],tblPrices[Rate ₹/kg],0),0)</f>
        <v>70</v>
      </c>
      <c r="F4" s="15">
        <f t="shared" si="3"/>
        <v>35</v>
      </c>
      <c r="G4" s="15">
        <f t="shared" si="4"/>
        <v>70</v>
      </c>
      <c r="I4" s="22" t="s">
        <v>77</v>
      </c>
      <c r="J4" s="25">
        <f t="array" ref="J4">IFERROR(SUMPRODUCT($B$3:$B$8,_xlfn.XLOOKUP($A$3:$A$8,tblNutrients[Ingredient],tblNutrients[Energy kcal],0)),0)</f>
        <v>166.17</v>
      </c>
      <c r="K4" s="22" t="s">
        <v>80</v>
      </c>
      <c r="L4" s="22" t="s">
        <v>81</v>
      </c>
    </row>
    <row r="5" ht="22.5" customHeight="1">
      <c r="A5" s="42" t="s">
        <v>41</v>
      </c>
      <c r="B5" s="43">
        <v>0.1</v>
      </c>
      <c r="C5" s="13">
        <f t="shared" si="1"/>
        <v>0.5</v>
      </c>
      <c r="D5" s="13">
        <f t="shared" si="2"/>
        <v>1</v>
      </c>
      <c r="E5" s="15">
        <f t="array" ref="E5">IFERROR(_xlfn.XLOOKUP(A5,tblPrices[Ingredient],tblPrices[Rate ₹/kg],0),0)</f>
        <v>70</v>
      </c>
      <c r="F5" s="15">
        <f t="shared" si="3"/>
        <v>35</v>
      </c>
      <c r="G5" s="15">
        <f t="shared" si="4"/>
        <v>70</v>
      </c>
      <c r="I5" s="22" t="s">
        <v>82</v>
      </c>
      <c r="J5" s="25">
        <f t="array" ref="J5">IFERROR(SUMPRODUCT($B$3:$B$8,_xlfn.XLOOKUP($A$3:$A$8,tblNutrients[Ingredient],tblNutrients[Protein g],0)),0)</f>
        <v>7.18</v>
      </c>
      <c r="K5" s="22" t="s">
        <v>83</v>
      </c>
      <c r="L5" s="22" t="s">
        <v>81</v>
      </c>
    </row>
    <row r="6" ht="22.5" customHeight="1">
      <c r="A6" s="42" t="s">
        <v>66</v>
      </c>
      <c r="B6" s="43">
        <v>0.05</v>
      </c>
      <c r="C6" s="13">
        <f t="shared" si="1"/>
        <v>0.25</v>
      </c>
      <c r="D6" s="13">
        <f t="shared" si="2"/>
        <v>0.5</v>
      </c>
      <c r="E6" s="15">
        <f t="array" ref="E6">IFERROR(_xlfn.XLOOKUP(A6,tblPrices[Ingredient],tblPrices[Rate ₹/kg],0),0)</f>
        <v>850</v>
      </c>
      <c r="F6" s="15">
        <f t="shared" si="3"/>
        <v>212.5</v>
      </c>
      <c r="G6" s="15">
        <f t="shared" si="4"/>
        <v>425</v>
      </c>
      <c r="I6" s="22" t="s">
        <v>84</v>
      </c>
      <c r="J6" s="25">
        <f t="array" ref="J6">IFERROR(SUMPRODUCT($B$3:$B$8,_xlfn.XLOOKUP($A$3:$A$8,tblNutrients[Ingredient],tblNutrients[Carbohydrates g],0)),0)</f>
        <v>24.755</v>
      </c>
      <c r="K6" s="22" t="s">
        <v>83</v>
      </c>
      <c r="L6" s="22" t="s">
        <v>81</v>
      </c>
    </row>
    <row r="7" ht="22.5" customHeight="1">
      <c r="A7" s="42" t="s">
        <v>64</v>
      </c>
      <c r="B7" s="43">
        <v>0.03</v>
      </c>
      <c r="C7" s="13">
        <f t="shared" si="1"/>
        <v>0.15</v>
      </c>
      <c r="D7" s="13">
        <f t="shared" si="2"/>
        <v>0.3</v>
      </c>
      <c r="E7" s="15">
        <f t="array" ref="E7">IFERROR(_xlfn.XLOOKUP(A7,tblPrices[Ingredient],tblPrices[Rate ₹/kg],0),0)</f>
        <v>250</v>
      </c>
      <c r="F7" s="15">
        <f t="shared" si="3"/>
        <v>37.5</v>
      </c>
      <c r="G7" s="15">
        <f t="shared" si="4"/>
        <v>75</v>
      </c>
      <c r="I7" s="22" t="s">
        <v>85</v>
      </c>
      <c r="J7" s="25">
        <f t="array" ref="J7">IFERROR(SUMPRODUCT($B$3:$B$8,_xlfn.XLOOKUP($A$3:$A$8,tblNutrients[Ingredient],tblNutrients[Sugars g],0)),0)</f>
        <v>0.63</v>
      </c>
      <c r="K7" s="22" t="s">
        <v>83</v>
      </c>
      <c r="L7" s="22" t="s">
        <v>81</v>
      </c>
    </row>
    <row r="8" ht="22.5" customHeight="1">
      <c r="A8" s="42" t="s">
        <v>45</v>
      </c>
      <c r="B8" s="43">
        <v>0.03</v>
      </c>
      <c r="C8" s="13">
        <f t="shared" si="1"/>
        <v>0.15</v>
      </c>
      <c r="D8" s="13">
        <f t="shared" si="2"/>
        <v>0.3</v>
      </c>
      <c r="E8" s="15">
        <f t="array" ref="E8">IFERROR(_xlfn.XLOOKUP(A8,tblPrices[Ingredient],tblPrices[Rate ₹/kg],0),0)</f>
        <v>150</v>
      </c>
      <c r="F8" s="15">
        <f t="shared" si="3"/>
        <v>22.5</v>
      </c>
      <c r="G8" s="15">
        <f t="shared" si="4"/>
        <v>45</v>
      </c>
      <c r="I8" s="22" t="s">
        <v>86</v>
      </c>
      <c r="J8" s="25">
        <f>0</f>
        <v>0</v>
      </c>
      <c r="K8" s="22" t="s">
        <v>83</v>
      </c>
      <c r="L8" s="22" t="s">
        <v>87</v>
      </c>
    </row>
    <row r="9" ht="22.5" customHeight="1">
      <c r="A9" s="42" t="s">
        <v>68</v>
      </c>
      <c r="B9" s="43">
        <v>0.02</v>
      </c>
      <c r="C9" s="13">
        <f t="shared" si="1"/>
        <v>0.1</v>
      </c>
      <c r="D9" s="13">
        <f t="shared" si="2"/>
        <v>0.2</v>
      </c>
      <c r="E9" s="15">
        <f t="array" ref="E9">IFERROR(_xlfn.XLOOKUP(A9,tblPrices[Ingredient],tblPrices[Rate ₹/kg],0),0)</f>
        <v>500</v>
      </c>
      <c r="F9" s="15">
        <f t="shared" si="3"/>
        <v>50</v>
      </c>
      <c r="G9" s="15">
        <f t="shared" si="4"/>
        <v>100</v>
      </c>
      <c r="I9" s="22" t="s">
        <v>88</v>
      </c>
      <c r="J9" s="25">
        <f t="array" ref="J9">IFERROR(SUMPRODUCT($B$3:$B$8,_xlfn.XLOOKUP($A$3:$A$8,tblNutrients[Ingredient],tblNutrients[Fat g],0)),0)</f>
        <v>4.855</v>
      </c>
      <c r="K9" s="22" t="s">
        <v>83</v>
      </c>
      <c r="L9" s="22" t="s">
        <v>81</v>
      </c>
    </row>
    <row r="10" ht="22.5" customHeight="1">
      <c r="A10" s="42" t="s">
        <v>143</v>
      </c>
      <c r="B10" s="43">
        <v>0.01</v>
      </c>
      <c r="C10" s="13">
        <f t="shared" si="1"/>
        <v>0.05</v>
      </c>
      <c r="D10" s="13">
        <f t="shared" si="2"/>
        <v>0.1</v>
      </c>
      <c r="E10" s="15">
        <f t="array" ref="E10">IFERROR(_xlfn.XLOOKUP(A10,tblPrices[Ingredient],tblPrices[Rate ₹/kg],0),0)</f>
        <v>0</v>
      </c>
      <c r="F10" s="15">
        <f t="shared" si="3"/>
        <v>0</v>
      </c>
      <c r="G10" s="15">
        <f t="shared" si="4"/>
        <v>0</v>
      </c>
      <c r="I10" s="22" t="s">
        <v>89</v>
      </c>
      <c r="J10" s="25">
        <f t="array" ref="J10">IFERROR(SUMPRODUCT($B$3:$B$8,_xlfn.XLOOKUP($A$3:$A$8,tblNutrients[Ingredient],tblNutrients[Sat Fat g],0)),0)</f>
        <v>0.716</v>
      </c>
      <c r="K10" s="22" t="s">
        <v>83</v>
      </c>
      <c r="L10" s="22" t="s">
        <v>81</v>
      </c>
    </row>
    <row r="11" ht="22.5" customHeight="1">
      <c r="A11" s="42" t="s">
        <v>48</v>
      </c>
      <c r="B11" s="43">
        <v>0.01</v>
      </c>
      <c r="C11" s="13">
        <f t="shared" si="1"/>
        <v>0.05</v>
      </c>
      <c r="D11" s="13">
        <f t="shared" si="2"/>
        <v>0.1</v>
      </c>
      <c r="E11" s="15">
        <f t="array" ref="E11">IFERROR(_xlfn.XLOOKUP(A11,tblPrices[Ingredient],tblPrices[Rate ₹/kg],0),0)</f>
        <v>150</v>
      </c>
      <c r="F11" s="15">
        <f t="shared" si="3"/>
        <v>7.5</v>
      </c>
      <c r="G11" s="15">
        <f t="shared" si="4"/>
        <v>15</v>
      </c>
      <c r="I11" s="22" t="s">
        <v>91</v>
      </c>
      <c r="J11" s="25">
        <f>0</f>
        <v>0</v>
      </c>
      <c r="K11" s="22" t="s">
        <v>83</v>
      </c>
      <c r="L11" s="22" t="s">
        <v>87</v>
      </c>
    </row>
    <row r="12" ht="22.5" customHeight="1">
      <c r="A12" s="28" t="s">
        <v>90</v>
      </c>
      <c r="B12" s="29">
        <f>SUM(B2:B11)</f>
        <v>1</v>
      </c>
      <c r="C12" s="30">
        <f t="shared" ref="C12:D12" si="5">SUM(C3:C8)</f>
        <v>2.3</v>
      </c>
      <c r="D12" s="30">
        <f t="shared" si="5"/>
        <v>4.6</v>
      </c>
      <c r="E12" s="31"/>
      <c r="F12" s="31">
        <f t="shared" ref="F12:G12" si="6">SUM(F3:F8)</f>
        <v>417.5</v>
      </c>
      <c r="G12" s="31">
        <f t="shared" si="6"/>
        <v>835</v>
      </c>
      <c r="I12" s="22" t="s">
        <v>93</v>
      </c>
      <c r="J12" s="25">
        <f t="array" ref="J12">IFERROR(SUMPRODUCT($B$3:$B$8,_xlfn.XLOOKUP($A$3:$A$8,tblNutrients[Ingredient],tblNutrients[Fibre g],0)),0)</f>
        <v>6.71</v>
      </c>
      <c r="K12" s="22" t="s">
        <v>83</v>
      </c>
      <c r="L12" s="22" t="s">
        <v>81</v>
      </c>
    </row>
    <row r="13" ht="22.5" customHeight="1">
      <c r="A13" s="28" t="s">
        <v>92</v>
      </c>
      <c r="B13" s="28"/>
      <c r="C13" s="28"/>
      <c r="D13" s="28"/>
      <c r="E13" s="31">
        <f t="array" ref="E13">_xlfn.XLOOKUP("Milling &amp; Roasting Cost",tblPrices[Ingredient],tblPrices[Rate ₹/kg],0)</f>
        <v>4</v>
      </c>
      <c r="F13" s="31">
        <f t="shared" ref="F13:F14" si="7">5*E13</f>
        <v>20</v>
      </c>
      <c r="G13" s="31">
        <f t="shared" ref="G13:G14" si="8">10*E13</f>
        <v>40</v>
      </c>
      <c r="I13" s="22" t="s">
        <v>95</v>
      </c>
      <c r="J13" s="25">
        <f t="array" ref="J13">IFERROR(SUMPRODUCT($B$3:$B$8,_xlfn.XLOOKUP($A$3:$A$8,tblNutrients[Ingredient],tblNutrients[Sodium mg],0)),0)</f>
        <v>7.15</v>
      </c>
      <c r="K13" s="22" t="s">
        <v>96</v>
      </c>
      <c r="L13" s="22" t="s">
        <v>81</v>
      </c>
    </row>
    <row r="14" ht="22.5" customHeight="1">
      <c r="A14" s="28" t="s">
        <v>94</v>
      </c>
      <c r="B14" s="28"/>
      <c r="C14" s="28"/>
      <c r="D14" s="28"/>
      <c r="E14" s="31">
        <f t="array" ref="E14">_xlfn.XLOOKUP("3-Layer Laminated Pouch",tblPrices[Ingredient],tblPrices[Rate ₹/kg],0)</f>
        <v>5</v>
      </c>
      <c r="F14" s="31">
        <f t="shared" si="7"/>
        <v>25</v>
      </c>
      <c r="G14" s="31">
        <f t="shared" si="8"/>
        <v>50</v>
      </c>
      <c r="I14" s="22" t="s">
        <v>98</v>
      </c>
      <c r="J14" s="25">
        <f>0</f>
        <v>0</v>
      </c>
      <c r="K14" s="22" t="s">
        <v>96</v>
      </c>
      <c r="L14" s="22" t="s">
        <v>87</v>
      </c>
    </row>
    <row r="15" ht="22.5" customHeight="1">
      <c r="A15" s="32" t="s">
        <v>97</v>
      </c>
      <c r="B15" s="32"/>
      <c r="C15" s="32"/>
      <c r="D15" s="32"/>
      <c r="E15" s="33"/>
      <c r="F15" s="33">
        <f t="shared" ref="F15:G15" si="9">SUM(F12:F14) + 50</f>
        <v>512.5</v>
      </c>
      <c r="G15" s="33">
        <f t="shared" si="9"/>
        <v>975</v>
      </c>
    </row>
    <row r="17" ht="31.5" customHeight="1">
      <c r="A17" s="69"/>
    </row>
    <row r="18" ht="31.5" customHeight="1">
      <c r="I18" s="70"/>
      <c r="J18" s="70"/>
      <c r="K18" s="70"/>
    </row>
    <row r="19" ht="15.75" customHeight="1">
      <c r="I19" s="71"/>
      <c r="J19" s="72"/>
      <c r="K19" s="70"/>
    </row>
    <row r="20" ht="15.75" customHeight="1">
      <c r="A20" s="23"/>
      <c r="B20" s="23"/>
      <c r="C20" s="23"/>
      <c r="D20" s="23"/>
      <c r="E20" s="23"/>
      <c r="I20" s="71"/>
      <c r="J20" s="72"/>
      <c r="K20" s="70"/>
    </row>
    <row r="21" ht="15.75" customHeight="1">
      <c r="A21" s="17" t="s">
        <v>56</v>
      </c>
      <c r="B21" s="17" t="s">
        <v>99</v>
      </c>
      <c r="C21" s="17" t="s">
        <v>100</v>
      </c>
      <c r="D21" s="17" t="s">
        <v>101</v>
      </c>
      <c r="E21" s="17" t="s">
        <v>102</v>
      </c>
      <c r="I21" s="71"/>
      <c r="J21" s="72"/>
      <c r="K21" s="70"/>
    </row>
    <row r="22" ht="15.75" customHeight="1">
      <c r="A22" s="34" t="s">
        <v>97</v>
      </c>
      <c r="B22" s="15">
        <f>G15/10</f>
        <v>97.5</v>
      </c>
      <c r="C22" s="15">
        <f t="shared" ref="C22:D22" si="10">F15</f>
        <v>512.5</v>
      </c>
      <c r="D22" s="15">
        <f t="shared" si="10"/>
        <v>975</v>
      </c>
      <c r="E22" s="22" t="s">
        <v>103</v>
      </c>
      <c r="I22" s="71"/>
      <c r="J22" s="72"/>
      <c r="K22" s="70"/>
    </row>
    <row r="23" ht="15.75" customHeight="1">
      <c r="A23" s="34" t="s">
        <v>104</v>
      </c>
      <c r="B23" s="15">
        <f t="shared" ref="B23:B24" si="11">D23/10</f>
        <v>135</v>
      </c>
      <c r="C23" s="15">
        <f t="shared" ref="C23:C24" si="12">D23/2</f>
        <v>675</v>
      </c>
      <c r="D23" s="35">
        <v>1350.0</v>
      </c>
      <c r="E23" s="22" t="s">
        <v>105</v>
      </c>
      <c r="I23" s="71"/>
      <c r="J23" s="72"/>
      <c r="K23" s="70"/>
    </row>
    <row r="24" ht="15.75" customHeight="1">
      <c r="A24" s="34" t="s">
        <v>106</v>
      </c>
      <c r="B24" s="15">
        <f t="shared" si="11"/>
        <v>115</v>
      </c>
      <c r="C24" s="15">
        <f t="shared" si="12"/>
        <v>575</v>
      </c>
      <c r="D24" s="35">
        <v>1150.0</v>
      </c>
      <c r="E24" s="22" t="s">
        <v>107</v>
      </c>
      <c r="I24" s="71"/>
      <c r="J24" s="72"/>
      <c r="K24" s="70"/>
    </row>
    <row r="25" ht="15.75" customHeight="1">
      <c r="A25" s="34" t="s">
        <v>108</v>
      </c>
      <c r="B25" s="15">
        <f t="shared" ref="B25:D25" si="13">B23-B22</f>
        <v>37.5</v>
      </c>
      <c r="C25" s="15">
        <f t="shared" si="13"/>
        <v>162.5</v>
      </c>
      <c r="D25" s="15">
        <f t="shared" si="13"/>
        <v>375</v>
      </c>
      <c r="E25" s="22" t="s">
        <v>109</v>
      </c>
      <c r="I25" s="71"/>
      <c r="J25" s="72"/>
      <c r="K25" s="70"/>
    </row>
    <row r="26" ht="15.75" customHeight="1">
      <c r="A26" s="34" t="s">
        <v>110</v>
      </c>
      <c r="B26" s="15">
        <f t="shared" ref="B26:D26" si="14">B24-B22</f>
        <v>17.5</v>
      </c>
      <c r="C26" s="15">
        <f t="shared" si="14"/>
        <v>62.5</v>
      </c>
      <c r="D26" s="15">
        <f t="shared" si="14"/>
        <v>175</v>
      </c>
      <c r="E26" s="22" t="s">
        <v>111</v>
      </c>
      <c r="I26" s="71"/>
      <c r="J26" s="72"/>
      <c r="K26" s="70"/>
    </row>
    <row r="27" ht="15.75" customHeight="1">
      <c r="A27" s="34" t="s">
        <v>112</v>
      </c>
      <c r="B27" s="38">
        <f>SUM(Table11[1 kg Pack])</f>
        <v>402.5</v>
      </c>
      <c r="C27" s="38">
        <f>SUM(Table11[5 kg Pack])</f>
        <v>1987.5</v>
      </c>
      <c r="D27" s="39">
        <f>IFERROR(D25/D23,0)</f>
        <v>0.2777777778</v>
      </c>
      <c r="E27" s="22" t="s">
        <v>113</v>
      </c>
      <c r="I27" s="71"/>
      <c r="J27" s="72"/>
      <c r="K27" s="70"/>
    </row>
    <row r="28" ht="15.75" customHeight="1">
      <c r="I28" s="71"/>
      <c r="J28" s="72"/>
      <c r="K28" s="70"/>
    </row>
    <row r="29" ht="15.75" customHeight="1">
      <c r="I29" s="71"/>
      <c r="J29" s="73"/>
      <c r="K29" s="7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I1:L1"/>
  </mergeCells>
  <dataValidations>
    <dataValidation type="decimal" allowBlank="1" sqref="B2:B11">
      <formula1>0.0</formula1>
      <formula2>1.0</formula2>
    </dataValidation>
    <dataValidation type="decimal" operator="greaterThan" allowBlank="1" sqref="D23:D24">
      <formula1>0.0</formula1>
    </dataValidation>
    <dataValidation type="custom" allowBlank="1" showDropDown="1" sqref="E2:G14 J4:J14 B22:C26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12.0"/>
    <col customWidth="1" min="3" max="4" width="13.0"/>
    <col customWidth="1" min="5" max="5" width="14.29"/>
    <col customWidth="1" min="6" max="6" width="18.14"/>
    <col customWidth="1" min="7" max="7" width="19.43"/>
    <col customWidth="1" min="8" max="8" width="3.0"/>
    <col customWidth="1" min="9" max="9" width="21.0"/>
    <col customWidth="1" min="10" max="10" width="25.29"/>
    <col customWidth="1" min="11" max="11" width="13.86"/>
    <col customWidth="1" min="12" max="12" width="27.43"/>
    <col customWidth="1" min="13" max="26" width="8.71"/>
  </cols>
  <sheetData>
    <row r="1" ht="31.5" customHeight="1">
      <c r="A1" s="3" t="s">
        <v>1</v>
      </c>
      <c r="B1" s="3" t="s">
        <v>6</v>
      </c>
      <c r="C1" s="3" t="s">
        <v>7</v>
      </c>
      <c r="D1" s="3" t="s">
        <v>8</v>
      </c>
      <c r="E1" s="3" t="s">
        <v>2</v>
      </c>
      <c r="F1" s="3" t="s">
        <v>12</v>
      </c>
      <c r="G1" s="3" t="s">
        <v>14</v>
      </c>
      <c r="I1" s="5"/>
      <c r="J1" s="6"/>
      <c r="K1" s="6"/>
      <c r="L1" s="7"/>
    </row>
    <row r="2" ht="22.5" customHeight="1">
      <c r="A2" s="8"/>
      <c r="B2" s="9"/>
      <c r="C2" s="13">
        <f t="shared" ref="C2:C9" si="1">B2*5</f>
        <v>0</v>
      </c>
      <c r="D2" s="13">
        <f t="shared" ref="D2:D9" si="2">B2*10</f>
        <v>0</v>
      </c>
      <c r="E2" s="15">
        <f t="array" ref="E2">IFERROR(_xlfn.XLOOKUP(A2,tblPrices[Ingredient],tblPrices[Rate ₹/kg],0),0)</f>
        <v>0</v>
      </c>
      <c r="F2" s="15">
        <f t="shared" ref="F2:F9" si="3">C2*E2</f>
        <v>0</v>
      </c>
      <c r="G2" s="15">
        <f t="shared" ref="G2:G9" si="4">D2*E2</f>
        <v>0</v>
      </c>
      <c r="I2" s="17" t="s">
        <v>56</v>
      </c>
      <c r="J2" s="17" t="s">
        <v>59</v>
      </c>
      <c r="K2" s="17" t="s">
        <v>60</v>
      </c>
      <c r="L2" s="17" t="s">
        <v>62</v>
      </c>
    </row>
    <row r="3" ht="22.5" customHeight="1">
      <c r="A3" s="8"/>
      <c r="B3" s="9"/>
      <c r="C3" s="13">
        <f t="shared" si="1"/>
        <v>0</v>
      </c>
      <c r="D3" s="13">
        <f t="shared" si="2"/>
        <v>0</v>
      </c>
      <c r="E3" s="15">
        <f t="array" ref="E3">IFERROR(_xlfn.XLOOKUP(A3,tblPrices[Ingredient],tblPrices[Rate ₹/kg],0),0)</f>
        <v>0</v>
      </c>
      <c r="F3" s="15">
        <f t="shared" si="3"/>
        <v>0</v>
      </c>
      <c r="G3" s="15">
        <f t="shared" si="4"/>
        <v>0</v>
      </c>
      <c r="I3" s="22" t="s">
        <v>77</v>
      </c>
      <c r="J3" s="25">
        <f t="array" ref="J3">IFERROR(SUMPRODUCT($B$2:$B$9,_xlfn.XLOOKUP($A$2:$A$9,tblNutrients[Ingredient],tblNutrients[Energy kcal],0)),0)</f>
        <v>0</v>
      </c>
      <c r="K3" s="26" t="s">
        <v>80</v>
      </c>
      <c r="L3" s="22" t="s">
        <v>81</v>
      </c>
    </row>
    <row r="4" ht="22.5" customHeight="1">
      <c r="A4" s="8"/>
      <c r="B4" s="9"/>
      <c r="C4" s="13">
        <f t="shared" si="1"/>
        <v>0</v>
      </c>
      <c r="D4" s="13">
        <f t="shared" si="2"/>
        <v>0</v>
      </c>
      <c r="E4" s="15">
        <f t="array" ref="E4">IFERROR(_xlfn.XLOOKUP(A4,tblPrices[Ingredient],tblPrices[Rate ₹/kg],0),0)</f>
        <v>0</v>
      </c>
      <c r="F4" s="15">
        <f t="shared" si="3"/>
        <v>0</v>
      </c>
      <c r="G4" s="15">
        <f t="shared" si="4"/>
        <v>0</v>
      </c>
      <c r="I4" s="22" t="s">
        <v>82</v>
      </c>
      <c r="J4" s="25">
        <f t="array" ref="J4">IFERROR(SUMPRODUCT($B$2:$B$9,_xlfn.XLOOKUP($A$2:$A$9,tblNutrients[Ingredient],tblNutrients[Protein g],0)),0)</f>
        <v>0</v>
      </c>
      <c r="K4" s="26" t="s">
        <v>83</v>
      </c>
      <c r="L4" s="22" t="s">
        <v>81</v>
      </c>
    </row>
    <row r="5" ht="22.5" customHeight="1">
      <c r="A5" s="8"/>
      <c r="B5" s="9"/>
      <c r="C5" s="13">
        <f t="shared" si="1"/>
        <v>0</v>
      </c>
      <c r="D5" s="13">
        <f t="shared" si="2"/>
        <v>0</v>
      </c>
      <c r="E5" s="15">
        <f t="array" ref="E5">IFERROR(_xlfn.XLOOKUP(A5,tblPrices[Ingredient],tblPrices[Rate ₹/kg],0),0)</f>
        <v>0</v>
      </c>
      <c r="F5" s="15">
        <f t="shared" si="3"/>
        <v>0</v>
      </c>
      <c r="G5" s="15">
        <f t="shared" si="4"/>
        <v>0</v>
      </c>
      <c r="I5" s="22" t="s">
        <v>84</v>
      </c>
      <c r="J5" s="25">
        <f t="array" ref="J5">IFERROR(SUMPRODUCT($B$2:$B$9,_xlfn.XLOOKUP($A$2:$A$9,tblNutrients[Ingredient],tblNutrients[Carbohydrates g],0)),0)</f>
        <v>0</v>
      </c>
      <c r="K5" s="26" t="s">
        <v>83</v>
      </c>
      <c r="L5" s="22" t="s">
        <v>81</v>
      </c>
    </row>
    <row r="6" ht="22.5" customHeight="1">
      <c r="A6" s="8"/>
      <c r="B6" s="9"/>
      <c r="C6" s="13">
        <f t="shared" si="1"/>
        <v>0</v>
      </c>
      <c r="D6" s="13">
        <f t="shared" si="2"/>
        <v>0</v>
      </c>
      <c r="E6" s="15">
        <f t="array" ref="E6">IFERROR(_xlfn.XLOOKUP(A6,tblPrices[Ingredient],tblPrices[Rate ₹/kg],0),0)</f>
        <v>0</v>
      </c>
      <c r="F6" s="15">
        <f t="shared" si="3"/>
        <v>0</v>
      </c>
      <c r="G6" s="15">
        <f t="shared" si="4"/>
        <v>0</v>
      </c>
      <c r="I6" s="22" t="s">
        <v>85</v>
      </c>
      <c r="J6" s="25">
        <f t="array" ref="J6">IFERROR(SUMPRODUCT($B$2:$B$9,_xlfn.XLOOKUP($A$2:$A$9,tblNutrients[Ingredient],tblNutrients[Sugars g],0)),0)</f>
        <v>0</v>
      </c>
      <c r="K6" s="26" t="s">
        <v>83</v>
      </c>
      <c r="L6" s="22" t="s">
        <v>81</v>
      </c>
    </row>
    <row r="7" ht="22.5" customHeight="1">
      <c r="A7" s="8"/>
      <c r="B7" s="9"/>
      <c r="C7" s="13">
        <f t="shared" si="1"/>
        <v>0</v>
      </c>
      <c r="D7" s="13">
        <f t="shared" si="2"/>
        <v>0</v>
      </c>
      <c r="E7" s="15">
        <f t="array" ref="E7">IFERROR(_xlfn.XLOOKUP(A7,tblPrices[Ingredient],tblPrices[Rate ₹/kg],0),0)</f>
        <v>0</v>
      </c>
      <c r="F7" s="15">
        <f t="shared" si="3"/>
        <v>0</v>
      </c>
      <c r="G7" s="15">
        <f t="shared" si="4"/>
        <v>0</v>
      </c>
      <c r="I7" s="22" t="s">
        <v>86</v>
      </c>
      <c r="J7" s="25">
        <f>0</f>
        <v>0</v>
      </c>
      <c r="K7" s="26" t="s">
        <v>83</v>
      </c>
      <c r="L7" s="22" t="s">
        <v>87</v>
      </c>
    </row>
    <row r="8" ht="22.5" customHeight="1">
      <c r="A8" s="8"/>
      <c r="B8" s="9"/>
      <c r="C8" s="13">
        <f t="shared" si="1"/>
        <v>0</v>
      </c>
      <c r="D8" s="13">
        <f t="shared" si="2"/>
        <v>0</v>
      </c>
      <c r="E8" s="15">
        <f t="array" ref="E8">IFERROR(_xlfn.XLOOKUP(A8,tblPrices[Ingredient],tblPrices[Rate ₹/kg],0),0)</f>
        <v>0</v>
      </c>
      <c r="F8" s="15">
        <f t="shared" si="3"/>
        <v>0</v>
      </c>
      <c r="G8" s="15">
        <f t="shared" si="4"/>
        <v>0</v>
      </c>
      <c r="I8" s="22" t="s">
        <v>88</v>
      </c>
      <c r="J8" s="25">
        <f t="array" ref="J8">IFERROR(SUMPRODUCT($B$2:$B$9,_xlfn.XLOOKUP($A$2:$A$9,tblNutrients[Ingredient],tblNutrients[Fat g],0)),0)</f>
        <v>0</v>
      </c>
      <c r="K8" s="26" t="s">
        <v>83</v>
      </c>
      <c r="L8" s="22" t="s">
        <v>81</v>
      </c>
    </row>
    <row r="9" ht="22.5" customHeight="1">
      <c r="A9" s="8"/>
      <c r="B9" s="9"/>
      <c r="C9" s="13">
        <f t="shared" si="1"/>
        <v>0</v>
      </c>
      <c r="D9" s="13">
        <f t="shared" si="2"/>
        <v>0</v>
      </c>
      <c r="E9" s="15">
        <f t="array" ref="E9">IFERROR(_xlfn.XLOOKUP(A9,tblPrices[Ingredient],tblPrices[Rate ₹/kg],0),0)</f>
        <v>0</v>
      </c>
      <c r="F9" s="15">
        <f t="shared" si="3"/>
        <v>0</v>
      </c>
      <c r="G9" s="15">
        <f t="shared" si="4"/>
        <v>0</v>
      </c>
      <c r="I9" s="22" t="s">
        <v>89</v>
      </c>
      <c r="J9" s="25">
        <f t="array" ref="J9">IFERROR(SUMPRODUCT($B$2:$B$9,_xlfn.XLOOKUP($A$2:$A$9,tblNutrients[Ingredient],tblNutrients[Sat Fat g],0)),0)</f>
        <v>0</v>
      </c>
      <c r="K9" s="26" t="s">
        <v>83</v>
      </c>
      <c r="L9" s="22" t="s">
        <v>81</v>
      </c>
    </row>
    <row r="10" ht="22.5" customHeight="1">
      <c r="A10" s="28" t="s">
        <v>90</v>
      </c>
      <c r="B10" s="29">
        <f t="shared" ref="B10:D10" si="5">SUM(B2:B9)</f>
        <v>0</v>
      </c>
      <c r="C10" s="30">
        <f t="shared" si="5"/>
        <v>0</v>
      </c>
      <c r="D10" s="30">
        <f t="shared" si="5"/>
        <v>0</v>
      </c>
      <c r="E10" s="31"/>
      <c r="F10" s="31">
        <f t="shared" ref="F10:G10" si="6">SUM(F2:F9)</f>
        <v>0</v>
      </c>
      <c r="G10" s="31">
        <f t="shared" si="6"/>
        <v>0</v>
      </c>
      <c r="I10" s="22" t="s">
        <v>91</v>
      </c>
      <c r="J10" s="25">
        <f>0</f>
        <v>0</v>
      </c>
      <c r="K10" s="26" t="s">
        <v>83</v>
      </c>
      <c r="L10" s="22" t="s">
        <v>87</v>
      </c>
    </row>
    <row r="11" ht="22.5" customHeight="1">
      <c r="A11" s="28" t="s">
        <v>92</v>
      </c>
      <c r="B11" s="28"/>
      <c r="C11" s="28"/>
      <c r="D11" s="28"/>
      <c r="E11" s="31">
        <f t="array" ref="E11">_xlfn.XLOOKUP("Milling &amp; Roasting Cost",tblPrices[Ingredient],tblPrices[Rate ₹/kg],0)</f>
        <v>4</v>
      </c>
      <c r="F11" s="31">
        <f t="shared" ref="F11:F12" si="7">5*E11</f>
        <v>20</v>
      </c>
      <c r="G11" s="31">
        <f t="shared" ref="G11:G12" si="8">10*E11</f>
        <v>40</v>
      </c>
      <c r="I11" s="22" t="s">
        <v>93</v>
      </c>
      <c r="J11" s="25">
        <f t="array" ref="J11">IFERROR(SUMPRODUCT($B$2:$B$9,_xlfn.XLOOKUP($A$2:$A$9,tblNutrients[Ingredient],tblNutrients[Fibre g],0)),0)</f>
        <v>0</v>
      </c>
      <c r="K11" s="26" t="s">
        <v>83</v>
      </c>
      <c r="L11" s="22" t="s">
        <v>81</v>
      </c>
    </row>
    <row r="12" ht="22.5" customHeight="1">
      <c r="A12" s="28" t="s">
        <v>94</v>
      </c>
      <c r="B12" s="28"/>
      <c r="C12" s="28"/>
      <c r="D12" s="28"/>
      <c r="E12" s="31">
        <f t="array" ref="E12">_xlfn.XLOOKUP("3-Layer Laminated Pouch",tblPrices[Ingredient],tblPrices[Rate ₹/kg],0)</f>
        <v>5</v>
      </c>
      <c r="F12" s="31">
        <f t="shared" si="7"/>
        <v>25</v>
      </c>
      <c r="G12" s="31">
        <f t="shared" si="8"/>
        <v>50</v>
      </c>
      <c r="I12" s="22" t="s">
        <v>95</v>
      </c>
      <c r="J12" s="25">
        <f t="array" ref="J12">IFERROR(SUMPRODUCT($B$2:$B$9,_xlfn.XLOOKUP($A$2:$A$9,tblNutrients[Ingredient],tblNutrients[Sodium mg],0)),0)</f>
        <v>0</v>
      </c>
      <c r="K12" s="26" t="s">
        <v>96</v>
      </c>
      <c r="L12" s="22" t="s">
        <v>81</v>
      </c>
    </row>
    <row r="13" ht="22.5" customHeight="1">
      <c r="A13" s="32" t="s">
        <v>97</v>
      </c>
      <c r="B13" s="32"/>
      <c r="C13" s="32"/>
      <c r="D13" s="32"/>
      <c r="E13" s="33">
        <f>SUM(my_choice[Rate ₹/kg])</f>
        <v>9</v>
      </c>
      <c r="F13" s="33">
        <f t="shared" ref="F13:G13" si="9">SUM(F10:F12)</f>
        <v>45</v>
      </c>
      <c r="G13" s="33">
        <f t="shared" si="9"/>
        <v>90</v>
      </c>
      <c r="I13" s="22" t="s">
        <v>98</v>
      </c>
      <c r="J13" s="25">
        <f>0</f>
        <v>0</v>
      </c>
      <c r="K13" s="26" t="s">
        <v>96</v>
      </c>
      <c r="L13" s="22" t="s">
        <v>87</v>
      </c>
    </row>
    <row r="15" ht="31.5" customHeight="1">
      <c r="A15" s="23"/>
      <c r="B15" s="23"/>
      <c r="C15" s="23"/>
      <c r="D15" s="23"/>
      <c r="E15" s="23"/>
    </row>
    <row r="16" ht="31.5" customHeight="1">
      <c r="A16" s="17" t="s">
        <v>56</v>
      </c>
      <c r="B16" s="17" t="s">
        <v>99</v>
      </c>
      <c r="C16" s="17" t="s">
        <v>100</v>
      </c>
      <c r="D16" s="17" t="s">
        <v>101</v>
      </c>
      <c r="E16" s="17" t="s">
        <v>102</v>
      </c>
    </row>
    <row r="17" ht="15.75" customHeight="1">
      <c r="A17" s="34" t="s">
        <v>97</v>
      </c>
      <c r="B17" s="15">
        <f>G13/10</f>
        <v>9</v>
      </c>
      <c r="C17" s="15">
        <f t="shared" ref="C17:D17" si="10">F13</f>
        <v>45</v>
      </c>
      <c r="D17" s="15">
        <f t="shared" si="10"/>
        <v>90</v>
      </c>
      <c r="E17" s="22" t="s">
        <v>103</v>
      </c>
    </row>
    <row r="18" ht="15.75" customHeight="1">
      <c r="A18" s="34" t="s">
        <v>104</v>
      </c>
      <c r="B18" s="15">
        <f t="shared" ref="B18:B19" si="11">D18/10</f>
        <v>95</v>
      </c>
      <c r="C18" s="15">
        <f t="shared" ref="C18:C19" si="12">D18/2</f>
        <v>475</v>
      </c>
      <c r="D18" s="35">
        <v>950.0</v>
      </c>
      <c r="E18" s="22" t="s">
        <v>105</v>
      </c>
    </row>
    <row r="19" ht="15.75" customHeight="1">
      <c r="A19" s="34" t="s">
        <v>106</v>
      </c>
      <c r="B19" s="15">
        <f t="shared" si="11"/>
        <v>76</v>
      </c>
      <c r="C19" s="15">
        <f t="shared" si="12"/>
        <v>380</v>
      </c>
      <c r="D19" s="35">
        <v>760.0</v>
      </c>
      <c r="E19" s="22" t="s">
        <v>107</v>
      </c>
    </row>
    <row r="20" ht="15.75" customHeight="1">
      <c r="A20" s="34" t="s">
        <v>108</v>
      </c>
      <c r="B20" s="15">
        <f t="shared" ref="B20:D20" si="13">B18-B17</f>
        <v>86</v>
      </c>
      <c r="C20" s="15">
        <f t="shared" si="13"/>
        <v>430</v>
      </c>
      <c r="D20" s="15">
        <f t="shared" si="13"/>
        <v>860</v>
      </c>
      <c r="E20" s="22" t="s">
        <v>109</v>
      </c>
    </row>
    <row r="21" ht="15.75" customHeight="1">
      <c r="A21" s="34" t="s">
        <v>110</v>
      </c>
      <c r="B21" s="15">
        <f t="shared" ref="B21:D21" si="14">B19-B17</f>
        <v>67</v>
      </c>
      <c r="C21" s="15">
        <f t="shared" si="14"/>
        <v>335</v>
      </c>
      <c r="D21" s="15">
        <f t="shared" si="14"/>
        <v>670</v>
      </c>
      <c r="E21" s="22" t="s">
        <v>111</v>
      </c>
    </row>
    <row r="22" ht="15.75" customHeight="1">
      <c r="A22" s="34" t="s">
        <v>112</v>
      </c>
      <c r="B22" s="38">
        <f>SUM(Table2[1 kg Pack])</f>
        <v>333</v>
      </c>
      <c r="C22" s="38">
        <f>SUM(Table2[5 kg Pack])</f>
        <v>1665</v>
      </c>
      <c r="D22" s="39">
        <f>IFERROR(D20/D18,0)</f>
        <v>0.9052631579</v>
      </c>
      <c r="E22" s="22" t="s">
        <v>113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">
    <mergeCell ref="I1:L1"/>
  </mergeCells>
  <dataValidations>
    <dataValidation type="decimal" allowBlank="1" sqref="B2:B9">
      <formula1>0.0</formula1>
      <formula2>1.0</formula2>
    </dataValidation>
    <dataValidation type="decimal" operator="greaterThan" allowBlank="1" sqref="D18:D19">
      <formula1>0.0</formula1>
    </dataValidation>
    <dataValidation type="custom" allowBlank="1" showDropDown="1" sqref="E2:G12 J3:J13 B17:C21">
      <formula1>AND(ISNUMBER(B2),(NOT(OR(NOT(ISERROR(DATEVALUE(B2))), AND(ISNUMBER(B2), LEFT(CELL("format", B2))="D")))))</formula1>
    </dataValidation>
    <dataValidation type="list" allowBlank="1" showDropDown="1" showErrorMessage="1" sqref="K3:K13">
      <formula1>"kcal,g,mg"</formula1>
    </dataValidation>
  </dataValidations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18.86"/>
    <col customWidth="1" min="3" max="3" width="19.57"/>
    <col customWidth="1" min="4" max="4" width="18.14"/>
    <col customWidth="1" min="5" max="5" width="25.14"/>
    <col customWidth="1" min="6" max="6" width="21.43"/>
    <col customWidth="1" min="7" max="7" width="25.57"/>
    <col customWidth="1" min="8" max="8" width="18.71"/>
    <col customWidth="1" min="9" max="26" width="8.71"/>
  </cols>
  <sheetData>
    <row r="1" ht="31.5" customHeight="1">
      <c r="A1" s="3" t="s">
        <v>114</v>
      </c>
      <c r="B1" s="3" t="s">
        <v>115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112</v>
      </c>
      <c r="I1" s="44" t="s">
        <v>121</v>
      </c>
    </row>
    <row r="2" ht="22.5" customHeight="1">
      <c r="A2" s="45" t="s">
        <v>122</v>
      </c>
      <c r="B2" s="15">
        <f>'Everyday Atta'!G13</f>
        <v>556.5</v>
      </c>
      <c r="C2" s="15">
        <f>'Everyday Atta'!G13</f>
        <v>556.5</v>
      </c>
      <c r="D2" s="15">
        <f>'Everyday Atta'!D18</f>
        <v>950</v>
      </c>
      <c r="E2" s="15">
        <f>'Everyday Atta'!D19</f>
        <v>760</v>
      </c>
      <c r="F2" s="15">
        <f>'Everyday Atta'!D20</f>
        <v>393.5</v>
      </c>
      <c r="G2" s="15">
        <f>'Everyday Atta'!D21</f>
        <v>203.5</v>
      </c>
      <c r="H2" s="39">
        <f>'Everyday Atta'!D22</f>
        <v>0.4142105263</v>
      </c>
      <c r="I2" s="40">
        <f t="shared" ref="I2:I7" si="1">B2*2</f>
        <v>1113</v>
      </c>
    </row>
    <row r="3" ht="22.5" customHeight="1">
      <c r="A3" s="45" t="s">
        <v>123</v>
      </c>
      <c r="B3" s="15">
        <f>'Sugar Care'!G14</f>
        <v>706</v>
      </c>
      <c r="C3" s="15">
        <f>'Sugar Care'!G14</f>
        <v>706</v>
      </c>
      <c r="D3" s="15">
        <f>'Sugar Care'!D19</f>
        <v>1250</v>
      </c>
      <c r="E3" s="15">
        <f>'Sugar Care'!D20</f>
        <v>1000</v>
      </c>
      <c r="F3" s="15">
        <f>'Sugar Care'!D21</f>
        <v>544</v>
      </c>
      <c r="G3" s="15">
        <f>'Sugar Care'!D22</f>
        <v>294</v>
      </c>
      <c r="H3" s="39">
        <f>'Sugar Care'!D23</f>
        <v>0.4352</v>
      </c>
      <c r="I3" s="46">
        <f t="shared" si="1"/>
        <v>1412</v>
      </c>
    </row>
    <row r="4" ht="22.5" customHeight="1">
      <c r="A4" s="45" t="s">
        <v>124</v>
      </c>
      <c r="B4" s="15">
        <f>'Thyro Care'!G12</f>
        <v>1255</v>
      </c>
      <c r="C4" s="15">
        <f>'Thyro Care'!G12</f>
        <v>1255</v>
      </c>
      <c r="D4" s="15">
        <f>'Thyro Care'!D20</f>
        <v>1650</v>
      </c>
      <c r="E4" s="15">
        <f>'Thyro Care'!D21</f>
        <v>1350</v>
      </c>
      <c r="F4" s="15">
        <f>'Thyro Care'!D22</f>
        <v>395</v>
      </c>
      <c r="G4" s="15">
        <f>'Thyro Care'!D23</f>
        <v>95</v>
      </c>
      <c r="H4" s="39">
        <f>'Thyro Care'!D24</f>
        <v>0.2393939394</v>
      </c>
      <c r="I4" s="46">
        <f t="shared" si="1"/>
        <v>2510</v>
      </c>
    </row>
    <row r="5" ht="22.5" customHeight="1">
      <c r="A5" s="45" t="s">
        <v>125</v>
      </c>
      <c r="B5" s="15">
        <f>'High Protein'!G12</f>
        <v>731</v>
      </c>
      <c r="C5" s="15">
        <f>'High Protein'!G12</f>
        <v>731</v>
      </c>
      <c r="D5" s="15">
        <f>'High Protein'!D20</f>
        <v>1350</v>
      </c>
      <c r="E5" s="15">
        <f>'High Protein'!D21</f>
        <v>1150</v>
      </c>
      <c r="F5" s="15">
        <f>'High Protein'!D22</f>
        <v>619</v>
      </c>
      <c r="G5" s="15">
        <f>'High Protein'!D23</f>
        <v>419</v>
      </c>
      <c r="H5" s="39">
        <f>'High Protein'!D24</f>
        <v>0.4585185185</v>
      </c>
      <c r="I5" s="46">
        <f t="shared" si="1"/>
        <v>1462</v>
      </c>
    </row>
    <row r="6" ht="22.5" customHeight="1">
      <c r="A6" s="45" t="s">
        <v>126</v>
      </c>
      <c r="B6" s="15">
        <f>'Vitality Atta'!G15</f>
        <v>975</v>
      </c>
      <c r="C6" s="15">
        <f>'Vitality Atta'!G15</f>
        <v>975</v>
      </c>
      <c r="D6" s="15" t="str">
        <f>'Vitality Atta'!I10</f>
        <v>Saturated Fat (g)</v>
      </c>
      <c r="E6" s="15">
        <f>'Vitality Atta'!J10</f>
        <v>0.716</v>
      </c>
      <c r="F6" s="15" t="str">
        <f>'Vitality Atta'!K10</f>
        <v>g</v>
      </c>
      <c r="G6" s="15" t="str">
        <f>'Vitality Atta'!L10</f>
        <v>Uses available reference data</v>
      </c>
      <c r="H6" s="39" t="str">
        <f>'Vitality Atta'!M10</f>
        <v/>
      </c>
      <c r="I6" s="46">
        <f t="shared" si="1"/>
        <v>1950</v>
      </c>
    </row>
    <row r="7" ht="22.5" customHeight="1">
      <c r="A7" s="47" t="s">
        <v>127</v>
      </c>
      <c r="B7" s="48" t="str">
        <f>'Vitality Atta'!G16</f>
        <v/>
      </c>
      <c r="C7" s="48" t="str">
        <f>'Vitality Atta'!G16</f>
        <v/>
      </c>
      <c r="D7" s="48" t="str">
        <f>'Vitality Atta'!I11</f>
        <v>Trans Fat (g)</v>
      </c>
      <c r="E7" s="48">
        <f>'Vitality Atta'!J11</f>
        <v>0</v>
      </c>
      <c r="F7" s="48" t="str">
        <f>'Vitality Atta'!K11</f>
        <v>g</v>
      </c>
      <c r="G7" s="48" t="str">
        <f>'Vitality Atta'!L11</f>
        <v>Assumed zero</v>
      </c>
      <c r="H7" s="49" t="str">
        <f>'Vitality Atta'!M11</f>
        <v/>
      </c>
      <c r="I7" s="46">
        <f t="shared" si="1"/>
        <v>0</v>
      </c>
    </row>
    <row r="10" ht="22.5" customHeight="1">
      <c r="A10" s="50" t="s">
        <v>128</v>
      </c>
      <c r="B10" s="50" t="s">
        <v>129</v>
      </c>
      <c r="C10" s="50" t="s">
        <v>130</v>
      </c>
      <c r="D10" s="50" t="s">
        <v>131</v>
      </c>
      <c r="E10" s="51" t="s">
        <v>132</v>
      </c>
      <c r="F10" s="50" t="s">
        <v>133</v>
      </c>
      <c r="G10" s="52" t="s">
        <v>134</v>
      </c>
    </row>
    <row r="11" ht="22.5" customHeight="1">
      <c r="A11" s="53" t="s">
        <v>135</v>
      </c>
      <c r="B11" s="54" t="s">
        <v>136</v>
      </c>
      <c r="C11" s="54" t="s">
        <v>137</v>
      </c>
      <c r="D11" s="55" t="s">
        <v>138</v>
      </c>
      <c r="E11" s="55" t="s">
        <v>139</v>
      </c>
      <c r="F11" s="56">
        <f>ROUNDUP('Everyday Atta'!G13,0)</f>
        <v>557</v>
      </c>
      <c r="G11" s="57" t="s">
        <v>140</v>
      </c>
    </row>
    <row r="12" ht="22.5" customHeight="1">
      <c r="A12" s="58" t="s">
        <v>141</v>
      </c>
      <c r="B12" s="59" t="s">
        <v>142</v>
      </c>
      <c r="C12" s="59" t="s">
        <v>144</v>
      </c>
      <c r="D12" s="60" t="s">
        <v>145</v>
      </c>
      <c r="E12" s="60" t="s">
        <v>146</v>
      </c>
      <c r="F12" s="61">
        <f>'Sugar Care'!G14</f>
        <v>706</v>
      </c>
      <c r="G12" s="62" t="s">
        <v>147</v>
      </c>
    </row>
    <row r="13" ht="22.5" customHeight="1">
      <c r="A13" s="53" t="s">
        <v>148</v>
      </c>
      <c r="B13" s="54" t="s">
        <v>149</v>
      </c>
      <c r="C13" s="54" t="s">
        <v>150</v>
      </c>
      <c r="D13" s="55" t="s">
        <v>151</v>
      </c>
      <c r="E13" s="55" t="s">
        <v>152</v>
      </c>
      <c r="F13" s="56">
        <f>'High Protein'!G12</f>
        <v>731</v>
      </c>
      <c r="G13" s="57" t="s">
        <v>153</v>
      </c>
    </row>
    <row r="14" ht="22.5" customHeight="1">
      <c r="A14" s="58" t="s">
        <v>154</v>
      </c>
      <c r="B14" s="59" t="s">
        <v>155</v>
      </c>
      <c r="C14" s="59" t="s">
        <v>156</v>
      </c>
      <c r="D14" s="60" t="s">
        <v>157</v>
      </c>
      <c r="E14" s="60" t="s">
        <v>158</v>
      </c>
      <c r="F14" s="63">
        <f>'Thyro Care'!G12</f>
        <v>1255</v>
      </c>
      <c r="G14" s="62" t="s">
        <v>159</v>
      </c>
    </row>
    <row r="15" ht="22.5" customHeight="1">
      <c r="A15" s="64" t="s">
        <v>160</v>
      </c>
      <c r="B15" s="65" t="s">
        <v>161</v>
      </c>
      <c r="C15" s="65" t="s">
        <v>162</v>
      </c>
      <c r="D15" s="66" t="s">
        <v>163</v>
      </c>
      <c r="E15" s="66" t="s">
        <v>164</v>
      </c>
      <c r="F15" s="67">
        <f>'Vitality Atta'!G15</f>
        <v>975</v>
      </c>
      <c r="G15" s="68" t="s">
        <v>165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custom" allowBlank="1" showDropDown="1" sqref="B2:H7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